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Q:\HGIS LAB\Rioux\Mapping Settler Colonialism\"/>
    </mc:Choice>
  </mc:AlternateContent>
  <xr:revisionPtr revIDLastSave="0" documentId="13_ncr:1_{C2A614AB-5F9B-4A42-ABDE-CAE5CD3C3B87}" xr6:coauthVersionLast="47" xr6:coauthVersionMax="47" xr10:uidLastSave="{00000000-0000-0000-0000-000000000000}"/>
  <bookViews>
    <workbookView xWindow="28680" yWindow="-120" windowWidth="29040" windowHeight="15720" activeTab="1" xr2:uid="{B332D574-DF12-471E-8A82-68D4257309C3}"/>
  </bookViews>
  <sheets>
    <sheet name="Sheet1" sheetId="1" r:id="rId1"/>
    <sheet name="Notes" sheetId="2" r:id="rId2"/>
  </sheets>
  <definedNames>
    <definedName name="_xlnm._FilterDatabase" localSheetId="0" hidden="1">Sheet1!$A$1:$DA$130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9" i="1" l="1" a="1"/>
  <c r="C49" i="1" s="1"/>
  <c r="C65" i="1" a="1"/>
  <c r="C65" i="1" s="1"/>
  <c r="C61" i="1" a="1"/>
  <c r="C61" i="1" s="1"/>
  <c r="C47" i="1"/>
  <c r="C45" i="1"/>
  <c r="C33" i="1"/>
  <c r="C2" i="1"/>
  <c r="C26" i="1"/>
  <c r="C24" i="1"/>
  <c r="C22" i="1"/>
  <c r="C13" i="1"/>
  <c r="C11" i="1"/>
  <c r="C9" i="1"/>
  <c r="C7" i="1"/>
  <c r="C6" i="1"/>
  <c r="C5" i="1"/>
  <c r="C4" i="1"/>
  <c r="C129" i="1"/>
  <c r="C128" i="1"/>
  <c r="C126" i="1"/>
  <c r="C125" i="1"/>
  <c r="C124" i="1"/>
  <c r="C123" i="1"/>
  <c r="C120" i="1"/>
  <c r="C119" i="1"/>
  <c r="C118" i="1"/>
  <c r="C117" i="1"/>
  <c r="C116" i="1"/>
  <c r="C115" i="1"/>
  <c r="C113" i="1"/>
  <c r="C112" i="1"/>
  <c r="C110" i="1"/>
  <c r="C108" i="1"/>
  <c r="C105" i="1"/>
  <c r="C104" i="1"/>
  <c r="C102" i="1"/>
  <c r="C101" i="1"/>
  <c r="C100" i="1"/>
  <c r="C99" i="1"/>
  <c r="C98" i="1"/>
  <c r="C96" i="1"/>
  <c r="C95" i="1"/>
  <c r="C94" i="1"/>
  <c r="C91" i="1"/>
  <c r="C90" i="1"/>
  <c r="C85" i="1"/>
  <c r="C81" i="1"/>
  <c r="C80" i="1"/>
  <c r="C79" i="1"/>
  <c r="C78" i="1"/>
  <c r="C75" i="1"/>
  <c r="C74" i="1"/>
  <c r="C72" i="1"/>
  <c r="C71" i="1"/>
  <c r="C70" i="1"/>
  <c r="C69" i="1"/>
  <c r="C68" i="1"/>
  <c r="C67" i="1"/>
  <c r="C59" i="1"/>
  <c r="C53" i="1"/>
  <c r="C130" i="1"/>
  <c r="C127" i="1"/>
  <c r="C122" i="1"/>
  <c r="C121" i="1"/>
  <c r="C114" i="1"/>
  <c r="C111" i="1"/>
  <c r="C109" i="1"/>
  <c r="C107" i="1"/>
  <c r="C106" i="1"/>
  <c r="C103" i="1"/>
  <c r="C97" i="1"/>
  <c r="C93" i="1"/>
  <c r="C92" i="1"/>
  <c r="C89" i="1"/>
  <c r="C88" i="1"/>
  <c r="C87" i="1"/>
  <c r="C86" i="1"/>
  <c r="C84" i="1"/>
  <c r="C83" i="1"/>
  <c r="C82" i="1"/>
  <c r="C77" i="1"/>
  <c r="C76" i="1"/>
  <c r="C73" i="1"/>
  <c r="C66" i="1"/>
  <c r="C64" i="1"/>
  <c r="C63" i="1"/>
  <c r="C62" i="1"/>
  <c r="C60" i="1"/>
  <c r="C58" i="1"/>
  <c r="C57" i="1"/>
  <c r="C56" i="1"/>
  <c r="C55" i="1"/>
  <c r="C54" i="1"/>
  <c r="C52" i="1"/>
  <c r="C51" i="1"/>
  <c r="C50" i="1"/>
  <c r="C48" i="1"/>
  <c r="C46" i="1"/>
  <c r="C44" i="1"/>
  <c r="C43" i="1"/>
  <c r="C42" i="1"/>
  <c r="C41" i="1"/>
  <c r="C40" i="1"/>
  <c r="C39" i="1"/>
  <c r="C38" i="1"/>
  <c r="C37" i="1"/>
  <c r="C36" i="1"/>
  <c r="C35" i="1"/>
  <c r="C34" i="1"/>
  <c r="C32" i="1"/>
  <c r="C31" i="1"/>
  <c r="C30" i="1"/>
  <c r="C29" i="1"/>
  <c r="C28" i="1"/>
  <c r="C27" i="1"/>
  <c r="C25" i="1"/>
  <c r="C23" i="1"/>
  <c r="C21" i="1"/>
  <c r="C20" i="1"/>
  <c r="C19" i="1"/>
  <c r="C18" i="1"/>
  <c r="C17" i="1"/>
  <c r="C16" i="1"/>
  <c r="C15" i="1"/>
  <c r="C14" i="1"/>
  <c r="C12" i="1"/>
  <c r="C10" i="1"/>
  <c r="C8" i="1"/>
  <c r="C3" i="1"/>
  <c r="BJ3" i="1"/>
  <c r="BJ71" i="1"/>
  <c r="AE72" i="1"/>
  <c r="BJ69" i="1"/>
  <c r="BJ70" i="1"/>
  <c r="BJ108" i="1"/>
  <c r="BJ2" i="1"/>
  <c r="BJ120" i="1"/>
  <c r="BJ72" i="1"/>
  <c r="BJ81" i="1"/>
  <c r="BJ59" i="1"/>
  <c r="AE8" i="1"/>
  <c r="BJ8" i="1"/>
  <c r="BJ121" i="1"/>
  <c r="AA130" i="1"/>
  <c r="AB130" i="1"/>
  <c r="BJ130" i="1"/>
  <c r="AB109" i="1"/>
  <c r="AB88" i="1"/>
  <c r="AB89" i="1"/>
  <c r="AB86" i="1"/>
  <c r="AA88" i="1"/>
  <c r="AA86" i="1"/>
  <c r="AB76" i="1"/>
  <c r="AB82" i="1"/>
  <c r="AB64" i="1"/>
  <c r="AB73" i="1"/>
  <c r="AA76" i="1"/>
  <c r="AA82" i="1"/>
  <c r="AA73" i="1"/>
  <c r="AA64" i="1"/>
  <c r="AB84" i="1"/>
  <c r="AB121" i="1"/>
  <c r="AB83" i="1"/>
  <c r="AA121" i="1"/>
  <c r="AA55" i="1"/>
  <c r="AA56" i="1"/>
  <c r="AA57" i="1"/>
  <c r="AA84" i="1"/>
  <c r="AB57" i="1"/>
  <c r="AB54" i="1"/>
  <c r="AB56" i="1"/>
  <c r="AB55" i="1"/>
  <c r="AB60" i="1"/>
  <c r="AB52" i="1"/>
  <c r="AA52" i="1"/>
  <c r="AA51" i="1"/>
  <c r="AA49" i="1"/>
  <c r="AA48" i="1"/>
  <c r="AB48" i="1"/>
  <c r="AB51" i="1"/>
  <c r="AB49" i="1"/>
  <c r="AA60" i="1"/>
  <c r="AA54" i="1"/>
  <c r="AB46" i="1"/>
  <c r="AB44" i="1"/>
  <c r="AA44" i="1"/>
  <c r="AA46" i="1"/>
  <c r="AA43" i="1"/>
  <c r="AB43" i="1"/>
  <c r="AB42" i="1"/>
  <c r="AA42" i="1"/>
  <c r="AA107" i="1"/>
  <c r="AB30" i="1"/>
  <c r="AA30" i="1"/>
  <c r="AB63" i="1"/>
  <c r="AA63" i="1"/>
  <c r="AB31" i="1"/>
  <c r="AB19" i="1"/>
  <c r="AA19" i="1"/>
  <c r="AA28" i="1"/>
  <c r="AB28" i="1"/>
  <c r="AB32" i="1"/>
  <c r="AA31" i="1"/>
  <c r="AB35" i="1"/>
  <c r="AB34" i="1"/>
  <c r="AB36" i="1"/>
  <c r="AA34" i="1"/>
  <c r="AA35" i="1"/>
  <c r="AA36" i="1"/>
  <c r="AA15" i="1"/>
  <c r="AA37" i="1"/>
  <c r="AB16" i="1"/>
  <c r="AB15" i="1"/>
  <c r="AB14" i="1"/>
  <c r="AA16" i="1"/>
  <c r="AA14" i="1"/>
  <c r="AA24" i="1"/>
  <c r="AA25" i="1"/>
  <c r="AB25" i="1"/>
  <c r="AB23" i="1"/>
  <c r="AB21" i="1"/>
  <c r="AB20" i="1"/>
  <c r="AA23" i="1"/>
  <c r="AA21" i="1"/>
  <c r="AA20" i="1"/>
  <c r="AB29" i="1"/>
  <c r="AA29" i="1"/>
  <c r="AA122" i="1"/>
  <c r="AA127" i="1"/>
  <c r="AA114" i="1"/>
  <c r="AB68" i="1"/>
  <c r="AB79" i="1"/>
  <c r="AB58" i="1"/>
  <c r="AA111" i="1"/>
  <c r="AA109" i="1"/>
  <c r="AA92" i="1"/>
  <c r="AA58" i="1"/>
  <c r="AA106" i="1"/>
  <c r="AA79" i="1"/>
  <c r="AA68" i="1"/>
  <c r="AB4" i="1"/>
  <c r="AB11" i="1"/>
  <c r="AB12" i="1"/>
  <c r="AB3" i="1"/>
  <c r="AA12" i="1"/>
  <c r="AA11" i="1"/>
  <c r="AA4" i="1"/>
  <c r="BJ129" i="1"/>
  <c r="BJ128" i="1"/>
  <c r="BJ127" i="1"/>
  <c r="BJ126" i="1"/>
  <c r="BJ125" i="1"/>
  <c r="BJ124" i="1"/>
  <c r="BJ123" i="1"/>
  <c r="BJ122" i="1"/>
  <c r="BJ119" i="1"/>
  <c r="BJ118" i="1"/>
  <c r="BJ117" i="1"/>
  <c r="BJ116" i="1"/>
  <c r="BJ115" i="1"/>
  <c r="BJ114" i="1"/>
  <c r="BJ113" i="1"/>
  <c r="BJ112" i="1"/>
  <c r="BJ111" i="1"/>
  <c r="BJ110" i="1"/>
  <c r="BJ109" i="1"/>
  <c r="BJ106" i="1"/>
  <c r="BJ105" i="1"/>
  <c r="BJ104" i="1"/>
  <c r="BJ103" i="1"/>
  <c r="BJ102" i="1"/>
  <c r="BJ101" i="1"/>
  <c r="BJ100" i="1"/>
  <c r="BJ99" i="1"/>
  <c r="BJ98" i="1"/>
  <c r="BJ97" i="1"/>
  <c r="BJ96" i="1"/>
  <c r="BJ95" i="1"/>
  <c r="BJ94" i="1"/>
  <c r="BJ93" i="1"/>
  <c r="BJ92" i="1"/>
  <c r="BJ91" i="1"/>
  <c r="BJ90" i="1"/>
  <c r="BJ89" i="1"/>
  <c r="BJ88" i="1"/>
  <c r="BJ87" i="1"/>
  <c r="BJ86" i="1"/>
  <c r="BJ85" i="1"/>
  <c r="BJ84" i="1"/>
  <c r="BJ83" i="1"/>
  <c r="BJ82" i="1"/>
  <c r="BJ80" i="1"/>
  <c r="BJ79" i="1"/>
  <c r="BJ78" i="1"/>
  <c r="BJ77" i="1"/>
  <c r="BJ76" i="1"/>
  <c r="BJ75" i="1"/>
  <c r="BJ74" i="1"/>
  <c r="BJ73" i="1"/>
  <c r="BJ68" i="1"/>
  <c r="BJ67" i="1"/>
  <c r="BJ66" i="1"/>
  <c r="BJ65" i="1"/>
  <c r="BJ64" i="1"/>
  <c r="BJ62" i="1"/>
  <c r="BJ61" i="1"/>
  <c r="BJ60" i="1"/>
  <c r="BJ58" i="1"/>
  <c r="BJ57" i="1"/>
  <c r="BJ56" i="1"/>
  <c r="BJ55" i="1"/>
  <c r="BJ54" i="1"/>
  <c r="BJ53" i="1"/>
  <c r="BJ52" i="1"/>
  <c r="BJ51" i="1"/>
  <c r="BJ50" i="1"/>
  <c r="BJ49" i="1"/>
  <c r="BJ48" i="1"/>
  <c r="BJ47" i="1"/>
  <c r="BJ46" i="1"/>
  <c r="BJ45" i="1"/>
  <c r="BJ44" i="1"/>
  <c r="BJ43" i="1"/>
  <c r="BJ42" i="1"/>
  <c r="BJ107" i="1"/>
  <c r="BJ19" i="1"/>
  <c r="BJ15" i="1"/>
  <c r="BJ36" i="1"/>
  <c r="BJ30" i="1"/>
  <c r="BJ11" i="1"/>
  <c r="BJ10" i="1"/>
  <c r="BJ26" i="1"/>
  <c r="BJ25" i="1"/>
  <c r="BJ63" i="1"/>
  <c r="BJ13" i="1"/>
  <c r="BJ12" i="1"/>
  <c r="BJ5" i="1"/>
  <c r="BJ4" i="1"/>
  <c r="BJ28" i="1"/>
  <c r="BJ27" i="1"/>
  <c r="BJ17" i="1"/>
  <c r="BJ34" i="1"/>
  <c r="BJ31" i="1"/>
  <c r="BJ35" i="1"/>
  <c r="BJ18" i="1"/>
  <c r="BJ38" i="1"/>
  <c r="BJ6" i="1"/>
  <c r="BJ32" i="1"/>
  <c r="BJ24" i="1"/>
  <c r="BJ37" i="1"/>
  <c r="BJ16" i="1"/>
  <c r="BJ41" i="1"/>
  <c r="BJ20" i="1"/>
  <c r="BJ22" i="1"/>
  <c r="BJ21" i="1"/>
  <c r="BJ14" i="1"/>
  <c r="BJ33" i="1"/>
  <c r="BJ40" i="1"/>
  <c r="BJ23" i="1"/>
  <c r="BJ29" i="1"/>
  <c r="BJ7" i="1"/>
  <c r="BJ9" i="1"/>
  <c r="BJ39" i="1"/>
  <c r="AE62" i="1"/>
  <c r="AE87" i="1"/>
  <c r="AE86" i="1"/>
  <c r="AE84" i="1"/>
  <c r="AE82" i="1"/>
  <c r="AE78" i="1"/>
  <c r="AE77" i="1"/>
  <c r="AE76" i="1"/>
  <c r="AE75" i="1"/>
  <c r="AE74" i="1"/>
  <c r="AE73" i="1"/>
  <c r="AE67" i="1"/>
  <c r="AE66" i="1"/>
  <c r="AE65" i="1"/>
  <c r="AE64" i="1"/>
  <c r="AE61" i="1"/>
  <c r="AE60" i="1"/>
  <c r="AE58" i="1"/>
  <c r="AE57" i="1"/>
  <c r="AE56" i="1"/>
  <c r="AE55" i="1"/>
  <c r="AE54" i="1"/>
  <c r="AE53" i="1"/>
  <c r="AE52" i="1"/>
  <c r="AE51" i="1"/>
  <c r="AE49" i="1"/>
  <c r="AE48" i="1"/>
  <c r="AE47" i="1"/>
  <c r="AE46" i="1"/>
  <c r="AE45" i="1"/>
  <c r="AE44" i="1"/>
  <c r="AE43" i="1"/>
  <c r="AE42" i="1"/>
  <c r="AE19" i="1"/>
  <c r="AE15" i="1"/>
  <c r="AE36" i="1"/>
  <c r="AE30" i="1"/>
  <c r="AE11" i="1"/>
  <c r="AE10" i="1"/>
  <c r="AE26" i="1"/>
  <c r="AE25" i="1"/>
  <c r="AE63" i="1"/>
  <c r="AE13" i="1"/>
  <c r="AE12" i="1"/>
  <c r="AE28" i="1"/>
  <c r="AE27" i="1"/>
  <c r="AE17" i="1"/>
  <c r="AE34" i="1"/>
  <c r="AE31" i="1"/>
  <c r="AE35" i="1"/>
  <c r="AE38" i="1"/>
  <c r="AE32" i="1"/>
  <c r="AE24" i="1"/>
  <c r="AE37" i="1"/>
  <c r="AE16" i="1"/>
  <c r="AE41" i="1"/>
  <c r="AE20" i="1"/>
  <c r="AE22" i="1"/>
  <c r="AE21" i="1"/>
  <c r="AE14" i="1"/>
  <c r="AE33" i="1"/>
  <c r="AE40" i="1"/>
  <c r="AE3" i="1"/>
  <c r="AE23" i="1"/>
  <c r="AE29" i="1"/>
  <c r="AE39"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<sst xmlns="http://schemas.openxmlformats.org/spreadsheetml/2006/main" count="1206" uniqueCount="611">
  <si>
    <t>UNIQUE_ID</t>
  </si>
  <si>
    <t>PROVINCE</t>
  </si>
  <si>
    <t>ORIG_ACRE</t>
  </si>
  <si>
    <t>SQ_MILE_1902</t>
  </si>
  <si>
    <t>NOTES</t>
  </si>
  <si>
    <t>PRAIRIES (TREATY No. 4 (QU'APPELLE TREATY))</t>
  </si>
  <si>
    <t>Piapôt</t>
  </si>
  <si>
    <t>SK</t>
  </si>
  <si>
    <t>Piapot First Nation</t>
  </si>
  <si>
    <t>Cree</t>
  </si>
  <si>
    <t>Red Pheasant</t>
  </si>
  <si>
    <t>Wood Mountain</t>
  </si>
  <si>
    <t>PRAIRIES (TREATY No. 5 (LAKE WINNIPEG TREATY))</t>
  </si>
  <si>
    <t>Saulteaux (Ojibwa)</t>
  </si>
  <si>
    <t>PRLW20</t>
  </si>
  <si>
    <t>Cumberland House</t>
  </si>
  <si>
    <t>PRLW27</t>
  </si>
  <si>
    <t>27A</t>
  </si>
  <si>
    <t>PRLW28</t>
  </si>
  <si>
    <t>Shoal Lake</t>
  </si>
  <si>
    <t>PRLW28A</t>
  </si>
  <si>
    <t>28A</t>
  </si>
  <si>
    <t>PRLW29</t>
  </si>
  <si>
    <t>Red Earth</t>
  </si>
  <si>
    <t>Cree and Saulteaux</t>
  </si>
  <si>
    <t>PRLW29A</t>
  </si>
  <si>
    <t>29A</t>
  </si>
  <si>
    <t>Red Earth (Carrot River?)</t>
  </si>
  <si>
    <t>Cree Saulteaux</t>
  </si>
  <si>
    <t>PRAIRIES (TREATY No. 2 (MANITOBA POST TREATY))</t>
  </si>
  <si>
    <t>PRQA64</t>
  </si>
  <si>
    <t>Gabriel Côté</t>
  </si>
  <si>
    <t>Cote First Nation</t>
  </si>
  <si>
    <t>PRQA65</t>
  </si>
  <si>
    <t>The Key</t>
  </si>
  <si>
    <t>Key First Nation</t>
  </si>
  <si>
    <t>PRQA66</t>
  </si>
  <si>
    <t>Keeseekoose</t>
  </si>
  <si>
    <t>Ojibwa/Cree</t>
  </si>
  <si>
    <t>PRMP68</t>
  </si>
  <si>
    <t>Pheasant Rump (Moose Mountain)</t>
  </si>
  <si>
    <t>Pheasant Rump Nakota First Nation</t>
  </si>
  <si>
    <t>Assiniboine</t>
  </si>
  <si>
    <t>PRMP69</t>
  </si>
  <si>
    <t>Ocean Man (Moose Mountain)</t>
  </si>
  <si>
    <t>White Bear First Nation</t>
  </si>
  <si>
    <t>PRMP70</t>
  </si>
  <si>
    <t>White Bear (Moose Mountain)</t>
  </si>
  <si>
    <t>Cree/Ojibwa/Assiniboine</t>
  </si>
  <si>
    <t>PRQA71</t>
  </si>
  <si>
    <t>Ochapowace First Nation</t>
  </si>
  <si>
    <t>PRQA72</t>
  </si>
  <si>
    <t>Kahkewistahaw</t>
  </si>
  <si>
    <t>Kahkewistahaw First Nation</t>
  </si>
  <si>
    <t>PRQA72A</t>
  </si>
  <si>
    <t>72A</t>
  </si>
  <si>
    <t>Kahkewistahaw Fishing Grounds</t>
  </si>
  <si>
    <t>PRQA73</t>
  </si>
  <si>
    <t>Cowessess (O-Soup)</t>
  </si>
  <si>
    <t>Cowessess First Nation</t>
  </si>
  <si>
    <t>PRQA73A</t>
  </si>
  <si>
    <t>73A</t>
  </si>
  <si>
    <t>Little Bone (Leech Lake)</t>
  </si>
  <si>
    <t>PRQA74</t>
  </si>
  <si>
    <t>Sakimay (Mosquito)</t>
  </si>
  <si>
    <t>PRQA74A</t>
  </si>
  <si>
    <t>74A</t>
  </si>
  <si>
    <t>Shesheep</t>
  </si>
  <si>
    <t>PRQA75</t>
  </si>
  <si>
    <t>PRQA76</t>
  </si>
  <si>
    <t>Carry the Kettle</t>
  </si>
  <si>
    <t>PRQA78</t>
  </si>
  <si>
    <t>Standing Buffalo</t>
  </si>
  <si>
    <t>Dakota</t>
  </si>
  <si>
    <t>PRQA79</t>
  </si>
  <si>
    <t>Pasquah Fishing Lakes</t>
  </si>
  <si>
    <t>PRQA80</t>
  </si>
  <si>
    <t>Muscowpetung</t>
  </si>
  <si>
    <t>PRQA80A</t>
  </si>
  <si>
    <t>80A</t>
  </si>
  <si>
    <t>Fishing Grounds at Long Lake</t>
  </si>
  <si>
    <t>PRQA81</t>
  </si>
  <si>
    <t>Peepeekeesis</t>
  </si>
  <si>
    <t>Peepeekisis First Nation</t>
  </si>
  <si>
    <t>PRQA82</t>
  </si>
  <si>
    <t>Okanese</t>
  </si>
  <si>
    <t>Okanese First Nation</t>
  </si>
  <si>
    <t>Cree (and Ojibwa)</t>
  </si>
  <si>
    <t>PRQA83</t>
  </si>
  <si>
    <t>Star Blanket</t>
  </si>
  <si>
    <t>Star Blanket Cree Nation</t>
  </si>
  <si>
    <t>PRQA84</t>
  </si>
  <si>
    <t>Little Black Bear</t>
  </si>
  <si>
    <t>Little Black Bear First Nation</t>
  </si>
  <si>
    <t>PRQA85</t>
  </si>
  <si>
    <t>Muskowekwan</t>
  </si>
  <si>
    <t>Muskowekwan First Nation</t>
  </si>
  <si>
    <t>PRQA86</t>
  </si>
  <si>
    <t>(George) Gordon</t>
  </si>
  <si>
    <t>George Gordon First Nation</t>
  </si>
  <si>
    <t>Cree/Ojibwa (and Métis)</t>
  </si>
  <si>
    <t>PRQA87</t>
  </si>
  <si>
    <t>Day Star</t>
  </si>
  <si>
    <t>Day Star First Nation</t>
  </si>
  <si>
    <t>PRQA88</t>
  </si>
  <si>
    <t>Kawakatoose (The Poor Man)</t>
  </si>
  <si>
    <t>Kawacatoose First Nation</t>
  </si>
  <si>
    <t>PRQA89</t>
  </si>
  <si>
    <t>Yellow Quill [Fishing Lake]</t>
  </si>
  <si>
    <t>Fishing Lake First Nation</t>
  </si>
  <si>
    <t>Saulteaux (Ojibwa)/Cree</t>
  </si>
  <si>
    <t>PRQA90</t>
  </si>
  <si>
    <t>Yellow Quill [Nut Lake]</t>
  </si>
  <si>
    <t>Yellow Quill First Nation</t>
  </si>
  <si>
    <t>Notes</t>
  </si>
  <si>
    <t>ORIG_SQ_MILE</t>
  </si>
  <si>
    <t>ACRES_1913</t>
  </si>
  <si>
    <t>Cree and Métis</t>
  </si>
  <si>
    <t>Saulteaux, Cree, and Métis</t>
  </si>
  <si>
    <t>Cumberland House Cree Nation</t>
  </si>
  <si>
    <t>Opaskwayak Cree Nation</t>
  </si>
  <si>
    <t>initial survey (220 sq miles) was conducted for three bands populated by 945 people, 1883 survey notes it was "abandoned." Piapot's band left in 1883. Reserve resurveyed in 1885, reduced in size to 73.21 sq. miles. 9 sections surrendered in 1905 along south edge and road through reserve, totaling 5957 acres.</t>
  </si>
  <si>
    <t>20A</t>
  </si>
  <si>
    <t>20B</t>
  </si>
  <si>
    <t>20C</t>
  </si>
  <si>
    <t>20D</t>
  </si>
  <si>
    <t>Pine Bluff (Cumberland House)</t>
  </si>
  <si>
    <t>Muskeg River (Cumberland House)</t>
  </si>
  <si>
    <t>Budd's Point (Cumberland House)</t>
  </si>
  <si>
    <t>created 1912, wintering location prior.</t>
  </si>
  <si>
    <t>created 1926 according to map, cannot find documentation in DIA reports.</t>
  </si>
  <si>
    <t>PRLW20A</t>
  </si>
  <si>
    <t>PRLW20B</t>
  </si>
  <si>
    <t>PRLW20C</t>
  </si>
  <si>
    <t>PRLW20D</t>
  </si>
  <si>
    <t>Initial survey in 1876 laid out 24 sq. miles. Newer surveys suggested a reduction to 20 sq. miles, boundaries shifted from 1876 to 1888, seemingly to the approval of the Band. 1900 map survey, 1902 schedule, and 1913 schedule are consistent with area measurements.</t>
  </si>
  <si>
    <t>Last Mountain Lake</t>
  </si>
  <si>
    <t>surveyed in 1885 so that the Touchwood Hills and Qu'appelle Valley reserves had access to a fishing source. 219.7 acres surrendered in 1919 for railway and settlement of Lakeview (Regina Beach). Remaining 1207.5 acres shared by Day Star, George Gordon, Kawacatoose, Muscowpetung, Muskowekwan, Pasqua, and Piapot First Nations.</t>
  </si>
  <si>
    <t>reports suggest Kahkewistahaw's band only returned to the Crooked Lakes area to receive annuities, difficult to suggest that they had "settled" before the reserve was surveyed. Settlers petitioned for surrender of reserve lands from 1885. 33281 acres surrendered in 1907. Not everything was sold, acreage climbed back up to 20,660 by 1972.</t>
  </si>
  <si>
    <t>Kakeesheway (Ochapowace)</t>
  </si>
  <si>
    <t>Cree and Saulteaux (Ojibwa)</t>
  </si>
  <si>
    <t>Inital reserve alloted on North side of river in 1877, unsure if they took up settlement then, bands collectively requested land on the south side. Reserve surveyed in fall 1880 based on pay lists for 1879, two separate chiefs? 161 individuals under one, 43 under the other? Amalgamated in 1883. Refused Broadview petition surrender in 1907. Map 1919 suggests that the lands were surrendered and purchased by the Soldier Settlement Board, not for homestead. 34521 acres at 1972, suggesting a final surrender of 18343 acres, over 100 more acres than listed in 1920.</t>
  </si>
  <si>
    <t>Initial survey in 1876 laid out 24960 acres, 1889 map suggests 27200 acres. Portions surrendered in 1919 as part of the Soldier Settlement Act, reducing acreage to 19125 as documented in the 1972 schedule.</t>
  </si>
  <si>
    <t>initial survey 1884. Confusing extensions made in the 1890s, seemingly the 1884 survey stuck. In 1909, 7600 acres "unanimously" surrendered to be sold.</t>
  </si>
  <si>
    <t>initial survey conducted in late 1880, no map until 1885. Illegal surrender in 1928 of 12461 acres.</t>
  </si>
  <si>
    <t>Cree/Saulteaux (Anishinaabe)</t>
  </si>
  <si>
    <t>Zagimē Anishinabēk</t>
  </si>
  <si>
    <t>initial survey 1884. year of settlement is less clear.  Informally amalgamated with Sakimay (Zagime Anishinabek) in 1887. Some members remained in the area, 1907 Graham pursues surrender, brings individuals now living at Sakimay to negotiate surrender with the two families still residing on Little Bone, the two families objected but the 3 or 4 individuals that Graham brought along approved. These families were forced off the land in 1921 with their residences burned. They returned and in 1989 74B was created within this area as part of Sakimay First Nation.</t>
  </si>
  <si>
    <t>SURR_ND_ACRES</t>
  </si>
  <si>
    <t>ACRES_1972</t>
  </si>
  <si>
    <t>ABS_1881</t>
  </si>
  <si>
    <t>ABS_1885</t>
  </si>
  <si>
    <t>ABS_1889</t>
  </si>
  <si>
    <t>ABS_1893</t>
  </si>
  <si>
    <t>ACRES_1902</t>
  </si>
  <si>
    <t>Initial survey 1884. Boundary confusion with George Gordon's #86, corrected in 1900 compilation survey. 158.18 acres surrendered in 1906 for GTR "Right of Way." 160 acres surrendered for the town of Lestock in 1910, pursued by Grand Trunk Railroad. 7485 acres surrendered in 1920, pursued by settlers.</t>
  </si>
  <si>
    <t>Assiniboine/Cree/Ojibwa</t>
  </si>
  <si>
    <t>Initial survey in 1881, no digital map to confirm. First digital map from 1885. Seemingly no documented surrenders.</t>
  </si>
  <si>
    <t>Pasqua First Nation</t>
  </si>
  <si>
    <t>Initial survey in 1876, subdivision of farmland survey in 1889. Pressured surrender for sale of 16,077 acres as pursued by local settlers in 1906.</t>
  </si>
  <si>
    <t>"-99" as a placeholder implies that no data was found, can be replaced all at once in ArcGIS/QGIS with whatever value desired to demonstrate missing information.</t>
  </si>
  <si>
    <t>Early population size is difficult to discern due to innacuracies in DIA documentation of population at Cypress Hills. O'Soup's group initially settled on N side of Qu'appelle River, moved to the south side, provided 63 sq. mi., expanded to 78 in 1883 when Chief Little Child arrived. Settlers petitioned for surrender following 1885. 41% surrendered in 1907, school area surrendered in 1908, mostly returned by 1982.</t>
  </si>
  <si>
    <t>Initial survey 1877, 35 families, approx 175 people. A few surrenders, pursued by the Canadian Northern Railway, occurred in 1904, 1905, and 1907 for the establishment of the township of Kamsack, including many sections north of the town as well. The NE section of the reserve was swapped for a section west of the river at this time too, better hay lands. In 1913, more sections were "surrendered" but possibly due to a lack of buyers, the land was reverted back to Cote First Nation by 1916/1917.</t>
  </si>
  <si>
    <t>Initial survey 1884, no complimentary info in DIA reports. Seemingly no surrenders were taken.</t>
  </si>
  <si>
    <t>Red Pheasant Cree Nation</t>
  </si>
  <si>
    <t>Entered into treaty under the signing of Waywayseecappo. Initial reserve location for request resided within Treaty 2. Wagner survey in 1876 on north side of crooked lake. not accepted. Initial survey in 1881 with modifications in 1884. Sheshep reserve surveyed in 1884 and added to Sakimay. Subdivision survey in 1889. Seemingly no surrenders taken from Sakimay, however, Little Bone 73 was surrendered in 1907 and amalgamated with Sakimay.</t>
  </si>
  <si>
    <t xml:space="preserve">Surveyed in 1884 following split in 1881 from Sakimay by J.C. Nelson, over Wagner's survey in 1876, combined under one paylist in 1883. Additions made in 1889. Seemingly, no surrenders taken. </t>
  </si>
  <si>
    <t>Initial survey in 1884 as Pas Mission Band, resurveyed in 1885, no information on survey in DIA reports, population two decades difficult to calculate as Red Earth and Shoal Lake are often lumped together under the "Pas Mountain Bands." Added Carrot River 29A in 1894. Seemingly no surrenders, resurveyed in 1911.</t>
  </si>
  <si>
    <t>Signed adhesion to Treaty 5 in 1876 as Pas Mountain Band in Manitoba, comprising of Shoal Lake and Red Earth Bands. Initial survey for Pas Mission band, resurveyed in 1885. Difficult to ascertain population because Shoal Lake and Red Earth are often counted together. Shoal Lake 28 reserve resurveyed as 28A in 1894. Accurate population count begins in 1897 under Shoal Lake 28A.</t>
  </si>
  <si>
    <t>See Shoal Lake 28. Surveyed in 1894, no accomodating information in DIA reports. Several additions/exchanges made according to the 1894 survey map with annotations to 1927, addition of 651 acres in 1906, another section added in 1913, 200 acre addition in 1914, supposed exchange of 640 "surrendered for exchange" in 1927, seemingly 100 acres of such not returned. Little to no documentation in DIA reports, solely deriving information from available maps</t>
  </si>
  <si>
    <t>Did not sign Treaty 4 but are protected under the Indian Act. Initial survey in 1881. Additions made of up to 560 acres in 1902/3. SE 6 22 14 W2 purchased by "Dept." 144 acres, seemingly returned prior to 1972 schedule.</t>
  </si>
  <si>
    <t>Initial survey set out in 1876 near Swan River, settled there for some time. Moved to Fort Pelly area in 1882. New survey in 1884 at 38 sq. miles. 11,500 acres surrendered for sale in 1909.</t>
  </si>
  <si>
    <t>Initial survey 1876. #68 Pheasant's Rump and #69 Ocean Man amalgamated and moved to White Bear, surrendering around 46k acres. Addition of up to 1385 acres surveyed in 1902, confirmed 1904. Seemingly no surrenders however White Bear First Nation has leased land to the town of Carlyle for cottage settlement since the 30s.</t>
  </si>
  <si>
    <t>Wood Mountain Lakota First Nation</t>
  </si>
  <si>
    <t>Lakota</t>
  </si>
  <si>
    <t>Yellow Quill [Kinistino]</t>
  </si>
  <si>
    <t>Kinistin Saulteaux Nation</t>
  </si>
  <si>
    <t>Separated from Nut Lake #89 in 1900. Subsequently surveyed. 1913 and 1972 acreage includes 91A. 2 sq. miles of NW corner of #91 surrendered for exchange for #91A in 1912.</t>
  </si>
  <si>
    <t>Signed Stone Fort Treaty 1 prior to adhesion to Treaty 4 in 1876. Moved into Touchwood Hills area late 1870s. Intimated locations for reserves near Fishing Lake and Nut Lake. Surveyed in 1881. Population at each reserve is difficult to deduce, eventually calculated under one reserve by 1893 as #89 Yellow Quill Nut and Fishing Lakes. Addition made in 1911 of 6.13 Sq. miles</t>
  </si>
  <si>
    <t>Signed Stone Fort Treaty 1 prior to adhesion to Treaty 4 in 1876. Moved into Touchwood Hills area late 1870s. Intimated locations for reserves near Fishing Lake and Nut Lake. Surveyed in 1881. Population at each reserve is difficult to deduce, eventually calculated under one reserve by 1893 as #89 Yellow Quill Nut and Fishing Lakes. CPR pursued surrender of 1904 and 1907, 67.31 and 13025.2 acres respectively, latter for settlement.</t>
  </si>
  <si>
    <t>Whitecap Dakota First Nation</t>
  </si>
  <si>
    <t>Wahpaton</t>
  </si>
  <si>
    <t>94A</t>
  </si>
  <si>
    <t>Wahpeton Dakota Nation</t>
  </si>
  <si>
    <t>One Arrow</t>
  </si>
  <si>
    <t>One Arrow First Nation</t>
  </si>
  <si>
    <t>Beardy's and Okemasis Cree Nation</t>
  </si>
  <si>
    <t>96 &amp; 97</t>
  </si>
  <si>
    <t>Beardy's and Okemasis</t>
  </si>
  <si>
    <t>Chakastaypasin</t>
  </si>
  <si>
    <t>Chakastaypasin Band of the Cree Nation</t>
  </si>
  <si>
    <t>Muskoday (John Smith)</t>
  </si>
  <si>
    <t>Muskoday First Nation</t>
  </si>
  <si>
    <t>James Smith</t>
  </si>
  <si>
    <t>100A</t>
  </si>
  <si>
    <t>Cumberland</t>
  </si>
  <si>
    <t>Sturgeon Lake</t>
  </si>
  <si>
    <t>Sturgeon Lake First Nation</t>
  </si>
  <si>
    <t>Muskeg Lake (Pettyquawkys)</t>
  </si>
  <si>
    <t>Muskeg Lake Cree Nation</t>
  </si>
  <si>
    <t>Mistiwasis (Snake Plain)</t>
  </si>
  <si>
    <t>Mistawasis Nêhiyawak</t>
  </si>
  <si>
    <t>Ahtahkakoop (Sandy Lake)</t>
  </si>
  <si>
    <t>Ahtahkakoop Cree Nation</t>
  </si>
  <si>
    <t>Flying Dust (Meadow Lake)</t>
  </si>
  <si>
    <t>Montreal Lake Cree Nation</t>
  </si>
  <si>
    <t>Montreal Lake (Wm. Charles)</t>
  </si>
  <si>
    <t>Little Red River (Wm. Charles and James Roberts)</t>
  </si>
  <si>
    <t>Stoney Knoll (Young Chippewayan)</t>
  </si>
  <si>
    <t>Stoney Knoll First Nation</t>
  </si>
  <si>
    <t>Mosquito</t>
  </si>
  <si>
    <t>Mosquito-Grizzly Bear's Head-Lean Man Nation</t>
  </si>
  <si>
    <t>Nakoda/Cree</t>
  </si>
  <si>
    <t>Moosomin</t>
  </si>
  <si>
    <t>Moosomin First Nation</t>
  </si>
  <si>
    <t>112A</t>
  </si>
  <si>
    <t>112B</t>
  </si>
  <si>
    <t>Sweetgrass</t>
  </si>
  <si>
    <t>Sweetgrass First Nation</t>
  </si>
  <si>
    <t>113A</t>
  </si>
  <si>
    <t>113B</t>
  </si>
  <si>
    <t>Poundmaker</t>
  </si>
  <si>
    <t>Poundmaker Cree Nation</t>
  </si>
  <si>
    <t>Thunderchild</t>
  </si>
  <si>
    <t>Thunderchild First Nation</t>
  </si>
  <si>
    <t>115A</t>
  </si>
  <si>
    <t>115C</t>
  </si>
  <si>
    <t>Thunderchild Hay</t>
  </si>
  <si>
    <t>Little Pine (Lucky Man)</t>
  </si>
  <si>
    <t>Little Pine First Nation and Lucky Man Cree Nation</t>
  </si>
  <si>
    <t>Witchekan Lake</t>
  </si>
  <si>
    <t>Big River</t>
  </si>
  <si>
    <t>Big River First Nation</t>
  </si>
  <si>
    <t>118A</t>
  </si>
  <si>
    <t>Seekaskootch</t>
  </si>
  <si>
    <t>Onion Lake Cree Nation</t>
  </si>
  <si>
    <t>Makaoo</t>
  </si>
  <si>
    <t>Joseph Bighead (Big Island Lake)</t>
  </si>
  <si>
    <t>Big Island Lake Cree Nation</t>
  </si>
  <si>
    <t>Makwa Sahgaichcan</t>
  </si>
  <si>
    <t>Makwa Sahgaiehcan First Nation</t>
  </si>
  <si>
    <t>129A</t>
  </si>
  <si>
    <t>129B</t>
  </si>
  <si>
    <t>Waterhen</t>
  </si>
  <si>
    <t>Waterhen Lake First Nation</t>
  </si>
  <si>
    <t>Lac La Ronge</t>
  </si>
  <si>
    <t>Lac La Ronge Indian Band</t>
  </si>
  <si>
    <t>Potato River</t>
  </si>
  <si>
    <t>156A</t>
  </si>
  <si>
    <t>156B</t>
  </si>
  <si>
    <t>Kitsakie</t>
  </si>
  <si>
    <t>156C</t>
  </si>
  <si>
    <t>Sucker River</t>
  </si>
  <si>
    <t>Stanley</t>
  </si>
  <si>
    <t>157A</t>
  </si>
  <si>
    <t>157B</t>
  </si>
  <si>
    <t>Old Fort</t>
  </si>
  <si>
    <t>157C</t>
  </si>
  <si>
    <t>Four Portages</t>
  </si>
  <si>
    <t>157D</t>
  </si>
  <si>
    <t>Fox Point</t>
  </si>
  <si>
    <t>157E</t>
  </si>
  <si>
    <t>Little Hills</t>
  </si>
  <si>
    <t>158A</t>
  </si>
  <si>
    <t>158B</t>
  </si>
  <si>
    <t>Saulteaux</t>
  </si>
  <si>
    <t>Saulteaux First Nation</t>
  </si>
  <si>
    <t>Ministikwan (Island Lake)</t>
  </si>
  <si>
    <t>Ministikwan Lake Cree Nation</t>
  </si>
  <si>
    <t>161A</t>
  </si>
  <si>
    <t>Ministikwan</t>
  </si>
  <si>
    <t>Canoe Lake</t>
  </si>
  <si>
    <t>Canoe Lake Cree First Nation</t>
  </si>
  <si>
    <t>165A</t>
  </si>
  <si>
    <t>165B</t>
  </si>
  <si>
    <t>184A</t>
  </si>
  <si>
    <t>184B</t>
  </si>
  <si>
    <t>184C</t>
  </si>
  <si>
    <t>184D</t>
  </si>
  <si>
    <t>184E</t>
  </si>
  <si>
    <t>Pelican Narrows (Amisk Lake)</t>
  </si>
  <si>
    <t>Birch Portage</t>
  </si>
  <si>
    <t>Pelican Narrows</t>
  </si>
  <si>
    <t>Sandy Narrows</t>
  </si>
  <si>
    <t>Woody Lake</t>
  </si>
  <si>
    <t>Mirond Lake</t>
  </si>
  <si>
    <t>La Plonge</t>
  </si>
  <si>
    <t>Peter Ballantyne Cree Nation</t>
  </si>
  <si>
    <t>192A</t>
  </si>
  <si>
    <t>192B</t>
  </si>
  <si>
    <t>192C</t>
  </si>
  <si>
    <t>192D</t>
  </si>
  <si>
    <t>Elak Dase</t>
  </si>
  <si>
    <t>Knee Lake</t>
  </si>
  <si>
    <t>Dipper Rapids</t>
  </si>
  <si>
    <t>Wapachewunak</t>
  </si>
  <si>
    <t>English River First Nation</t>
  </si>
  <si>
    <t>Dene</t>
  </si>
  <si>
    <t>193A</t>
  </si>
  <si>
    <t>193B</t>
  </si>
  <si>
    <t>Buffalo River (Peter Pond Lake)</t>
  </si>
  <si>
    <t>Churchill Lake</t>
  </si>
  <si>
    <t>Turnor Lake</t>
  </si>
  <si>
    <t>Birch Narrows Dene Nation</t>
  </si>
  <si>
    <t>Buffalo River Dene Nation</t>
  </si>
  <si>
    <t>91A</t>
  </si>
  <si>
    <t>Kinistin</t>
  </si>
  <si>
    <t>"Moose Woods" Chief White Cap</t>
  </si>
  <si>
    <t>Year of Occupation refers to the year that the nation "settled" on their surveyed or yet to be surveyed reserve</t>
  </si>
  <si>
    <t>located within Treaty 6 but not signatories. Modern self-government treaty signed in 2023. Multiple additions made to the reserve through the 1890s to the 1940s. Seemingly no surrenders</t>
  </si>
  <si>
    <t>Initially surveyed in 1881, overlapped St. Laurent Metis Settlement surveyed in 1878. Recognized in 1884 and resurveyed in 1888. Order in Council confirmed reserve in 1889. No loss of land. Surrender taken in 1899 of a road allowance.</t>
  </si>
  <si>
    <t>Initially surveyed in 1887. Implicated in 1885 Resistance. Subdivision survey in 1889 within north eastern section of the reserve. Seemingly no surrenders taken.</t>
  </si>
  <si>
    <t>Saulteaux (Ojibwa)/Cree and Métis</t>
  </si>
  <si>
    <t>Signed Treaty 6, 1876. Initial survey 1878, resurveyed 1884. Seemingly no surrenders taken.</t>
  </si>
  <si>
    <t>Signed Treaty 6, 1876. Partial survey in 1878, resurveyed 1884. Amalgamated with #100A in 1902. Seemingly no surrenders taken of James Smith #100.</t>
  </si>
  <si>
    <t>Initially within Treaty 5. Complaints about Cumberland House #20 soil quality pushed members towards Fort à la Corne. #100A (65 sq. mi.) surveyed in 1887 next to James Smith #100. Amalgamated in 1902 with James Smith #100 following surrender of 22,080 acres for sale. Re-adjustment survey in 1904/5 exchanging SW corner (1.5 Sections or 960 acres) for land in NE corner.</t>
  </si>
  <si>
    <t>Signed Treaty 6, 1876. Occupation of reserve around time of survey (1878). Exchanged land in north central part of the reserve for hay lands on the NE corner as confirmed by OIC in 1913. Seemingly no other surrenders taken.</t>
  </si>
  <si>
    <t>Signed Treaty 6, 1876. Unclear on date of "uptake" of reserve. Initially surveyed in 1881. Subdivision survey in 1892. 8960 acres surrendered for sale to soldier resettlement board in 1919. Unsurrendered portion subdivided 1922.</t>
  </si>
  <si>
    <t>Signed Treaty 6, 1876. Occupation of reserve around time of survey (1878). Subdivision survery as part of severalty policy in 1891. Right of way surrender of 14.14 acres for Canadian Northern line construction. Animals from settler farms increasingly trespassed on Mistawasis territory by 1910, aimed to fence the reserve with cash from a surrender of the SE portion (1607 acres) accepted in 1911. Another surrendered was proposed and accepted in 1917 of land (5028 acres) outside the fenced area. In 1919, an additional surrender of 11520 acres was taken and given to the soldier settlement board. Another subdivision survey of remaining land conducted in 1921.</t>
  </si>
  <si>
    <t>Signed Treaty 6, 1876. Survey in 1878 shortfalled reserve over 4,000 acres and was not located where the band had hoped it would be. Settlement with the federal government over Treaty Land Entitlement in 2022. Subdivision survey in 1891. Seemingly no surrenders were taken.</t>
  </si>
  <si>
    <t>106A/106B/106C</t>
  </si>
  <si>
    <t>Signed an adhesion to Treaty 6 in 1889. Reserve surveyed shortly after. Supposed resurvey in 1949 (approverd 1951), have not located. Seemingly no surrenders outside of a road allowance taken.</t>
  </si>
  <si>
    <t>Reserve surveyed for farming purposes for both Montreal Lake and Lac La Ronge in 1897. Divided in 1948 into Montreal Lake 106B (Montreal Lake, ~5000 acres) and Little Red River 106C (Lac la Ronge, ~31000 acres). Seemingly no surrenders taken.</t>
  </si>
  <si>
    <t>SURR_1877</t>
  </si>
  <si>
    <t>Moosomin and Thunderchild (hay land)</t>
  </si>
  <si>
    <t>1880/1</t>
  </si>
  <si>
    <t>Hay land provided to #112 Moosomin and #115 Thunderchild in 1887. 640 acres surrendered 1909, 640 acres retained.</t>
  </si>
  <si>
    <t>Surveyed and replaced #112 Moosomin in 1909.</t>
  </si>
  <si>
    <t>Signed Treaty 6, 1876. Reserve surveyed 1879. No significant uptake of reserve land. Remained mobile, hunting was poor, disease struck the band. By late 1880s, the band was no longer recognized as a separate entitty. 1897, reserve land "restored" to the department of the interior. Subsequently deeded out to settlers. Marked as abandoned in 1877, restored to the government without proper surrender acquisition by 1897. Specific claim beginning in the 1990s, negotiations are ongoing.</t>
  </si>
  <si>
    <t>Surveyed in 1884 as an addition to 113. Population not counted seperately. Seemingly no surrender of this land taken.</t>
  </si>
  <si>
    <t>Set aside as hay lands when initially surveyed in 1884. Seemingly no surrender of this land ever taken.</t>
  </si>
  <si>
    <t>Signed Treaty 6, 1876. Reserve surveyed 1884. 113A and 113B surveyed at the same time, the later as hay grounds. Unclear on acreage fluctuation across 1902, 1913, and 1972 schedules.</t>
  </si>
  <si>
    <t>Signed Treaty 6, 1876. Reserve surveyed 1881. Resurveyed in 1904 alongside Little Pine 116. Seemingly no surrenders taken.</t>
  </si>
  <si>
    <t>115B</t>
  </si>
  <si>
    <t>Signed an adhesion to Treaty 6, 1879. Initial survey 1881. 115A added in 1884, 112A Hay Lands added in 1887 (surrendered 640 acers in 1909). Entire reserve surrendered in 1908. Replaced by 115B.</t>
  </si>
  <si>
    <t>Hay Lands for Thunderchild #115B. Surveyed 1909.</t>
  </si>
  <si>
    <t>Replacement reserve for Thunderchild #115. Surveyed and occupied 1909. 480 acres added 1953.</t>
  </si>
  <si>
    <t>Signed an adhesion to Treaty 6, 1879. Among thousands of others near Fort Walsh in the first few years of the 1880s. Some of Lucky Man's followers were incorporated among Battleford bands, 1885 is the first year of single population number provided, large number of "absentees" in the Battleford district that have went to the US in 1889, mention that they will be dropped off the pay-sheets if they do not return. Two sections patented to the HBC for a number of years but ultimately returned. No other surrenders taken. Treaty Land Entitlement claim for Lucky Man Cree Nation completed in 2008.</t>
  </si>
  <si>
    <t>Signed an adhesion to Treaty 6, 1878. Proceeded to live by fishing and hunting for a number of years in the area near where their reserve was eventually surveyed in 1898. 980 acres surrendered for exchange for 118A in 1908.</t>
  </si>
  <si>
    <t>Created in 1908 from surrendered land from 118. entire reserve surrendered for sale to soldier settlement board. Has since been returned? Unsure when. Counted in 1972 schedule.</t>
  </si>
  <si>
    <t>SK/AB</t>
  </si>
  <si>
    <t>Signed Treaty 6, 1876. Reserve surveyed 1879. Amalgamated with #120 Makaoo in 1914 as "Onion Lake Band." Seemingly, no surrenders taken.</t>
  </si>
  <si>
    <t>Signed an adhesion to Treaty 6, 1878. Reserve surveyed 1879 adjoining #119 Seekaskootch. No uptake of reserve land until 1884. Population prior to reserve uptake fluctuated, near Stony Lake/Frog Lake AB with other groups. Amalgamated with #119 Seekaskootch 1914 as "Onion Lake Band." Seemingly no surrenders taken.</t>
  </si>
  <si>
    <t>Did not sign treaty 6 until 1913. Had frequented the area around Big Island Lake/Cold Lake/Waterhen Lake. Connections with other nations in the Onion Lake Agency, Ministikwan 161 being one, referred to in 1911 DIA report. Survey of reserve began in 1912, completed 1915. Seemingly no surrender taken.</t>
  </si>
  <si>
    <t>Surveyed 1915.</t>
  </si>
  <si>
    <t>Signed Treaty 6, 1876. Members received treaty payments in 1876 and 1877, no payments again until 1894. Received treaty payments in 1911 under Island Lake Band. 129 and 129A surveyed in 1915, 129B added in 1930. Unclear on surrenders. 2021 Specific Claims Tribunal concludes that Makwa Lake First Nation received sufficient land as per TLE of Treaty 6.</t>
  </si>
  <si>
    <t>Agents stopped reporting absences from reserves in 1894.</t>
  </si>
  <si>
    <t>Signed Treaty 6 adhesion 1921. Were present at Treaty 6 signing in 1876 but did not sign, received no annuities until 1921. Discussion of reserve, hay and timber lands at signing. Surveyed reserve and hay lands in 1926, confirmed 1930. Timber land not surveyed at this time, crown breached fiduciary duty. Seemingly no surrenders, although initial reserve size discussed ~10,000 acres larger—to accomodate potential future adherents—than what was surveyed in 1926. No map data.</t>
  </si>
  <si>
    <t>Agents stopped reporting yearly population in 1918.</t>
  </si>
  <si>
    <t>Flying Dust First Nation</t>
  </si>
  <si>
    <t>Populations for 1921, and 1931 taken from Canadian Census records. Populations for 1911 are taken from either DIA reports or the 1911 Canadian Census if not found in the former.</t>
  </si>
  <si>
    <t>Signed Treaty 6 adhesion in 1954. Reserve initially surveyed in 1910. Population of 293 mentioned in a 1912 report. Seemingly no surrenders taken. In 1993, Saulteaux First Nation ratified a Treaty Land Entitlement Agreement with the federal government to resolve land debts from the moment of initial reserve creation, money was provided to purchase 56,000 acres anywhere within Saskatchewan.</t>
  </si>
  <si>
    <t>Hay lands for Ministikwan 161.</t>
  </si>
  <si>
    <t>Included in Treaty 6 1876 under Seekaskootch. Did not receive payments until at least 1894, some as late as 1910. initial resurve laid out in 1910, approved two reserves, 161 and 161A in 1911. Resurveyed in 1914, land removed from initial survey and allocated to Big Island 124 and Makwa Sahgaichcan 129 in 1915. Decrese of 16,349 acres but not surrendered.</t>
  </si>
  <si>
    <t>Hay Lands for Canoe Lake</t>
  </si>
  <si>
    <t>Wintering lands for Canoe Lake</t>
  </si>
  <si>
    <t>Signed Treaty 10, 1906. Reserves surveyed in 1912, 165/A/B. Seemingly no surrenders were taken. In 1954, the Canoe Lake Band was deprived access to traditional hunting lands when the federal government created the Primrose Lake Air Weapons Range. A specific claim was approved in 1993 to negotiate compensation for the affected parties.</t>
  </si>
  <si>
    <t>Sq. Miles were kept in in places where relevant. Many early original surveys listed sq. miles. Additionally, the 1902 schedule that is referenced often was also listed in sq. miles.</t>
  </si>
  <si>
    <t>Acres are used whenever they are given. All acres are converted into hectare measurements at the right end of the sheet to compare with modern reserve land measurements.</t>
  </si>
  <si>
    <t>An additional reserve for the Peter Pond Band (Buffalo River Dene Nation) until 1972 when they were divided. Seemingly no surrenders taken</t>
  </si>
  <si>
    <t>PRA106</t>
  </si>
  <si>
    <t>PRA156</t>
  </si>
  <si>
    <t>PRA156A</t>
  </si>
  <si>
    <t>PRA156B</t>
  </si>
  <si>
    <t>PRA156C</t>
  </si>
  <si>
    <t>PRA157</t>
  </si>
  <si>
    <t>PRA157A</t>
  </si>
  <si>
    <t>PRA157B</t>
  </si>
  <si>
    <t>PRA157C</t>
  </si>
  <si>
    <t>PRA157D</t>
  </si>
  <si>
    <t>PRA157E</t>
  </si>
  <si>
    <t>PRA158</t>
  </si>
  <si>
    <t>PRA158A</t>
  </si>
  <si>
    <t>PRA158B</t>
  </si>
  <si>
    <t>PRAIRIES (TREATY No. 6 (FORT CARLTON TREATY))</t>
  </si>
  <si>
    <t>PRAIRIES (TREATY No. 6, 1889 (ADHESION))</t>
  </si>
  <si>
    <t>PRF91</t>
  </si>
  <si>
    <t>PRF91A</t>
  </si>
  <si>
    <t>PRF94</t>
  </si>
  <si>
    <t>PRF94A</t>
  </si>
  <si>
    <t>PRF95</t>
  </si>
  <si>
    <t>PRF96 &amp; 97</t>
  </si>
  <si>
    <t>PRF98</t>
  </si>
  <si>
    <t>PRF99</t>
  </si>
  <si>
    <t>PRF100</t>
  </si>
  <si>
    <t>PRF100A</t>
  </si>
  <si>
    <t>PRF101</t>
  </si>
  <si>
    <t>PRF102</t>
  </si>
  <si>
    <t>PRF103</t>
  </si>
  <si>
    <t>PRF104</t>
  </si>
  <si>
    <t>PRF105</t>
  </si>
  <si>
    <t>PRF107</t>
  </si>
  <si>
    <t>PRF109</t>
  </si>
  <si>
    <t>PRF112</t>
  </si>
  <si>
    <t>PRF112A</t>
  </si>
  <si>
    <t>PRF112B</t>
  </si>
  <si>
    <t>PRF113</t>
  </si>
  <si>
    <t>PRF113A</t>
  </si>
  <si>
    <t>PRF113B</t>
  </si>
  <si>
    <t>PRF114</t>
  </si>
  <si>
    <t>PRF115</t>
  </si>
  <si>
    <t>PRF115A</t>
  </si>
  <si>
    <t>PRF115B</t>
  </si>
  <si>
    <t>PRF115C</t>
  </si>
  <si>
    <t>PRF116</t>
  </si>
  <si>
    <t>PRF117</t>
  </si>
  <si>
    <t>PRF118</t>
  </si>
  <si>
    <t>PRF118A</t>
  </si>
  <si>
    <t>PRF119</t>
  </si>
  <si>
    <t>PRF120</t>
  </si>
  <si>
    <t>PRF124</t>
  </si>
  <si>
    <t>PRF129</t>
  </si>
  <si>
    <t>PRF129A</t>
  </si>
  <si>
    <t>PRF129B</t>
  </si>
  <si>
    <t>PRF130</t>
  </si>
  <si>
    <t>PRF159</t>
  </si>
  <si>
    <t>PRF161</t>
  </si>
  <si>
    <t>PRF161A</t>
  </si>
  <si>
    <t>PRF184</t>
  </si>
  <si>
    <t>PRF184A</t>
  </si>
  <si>
    <t>PRF184B</t>
  </si>
  <si>
    <t>PRF184C</t>
  </si>
  <si>
    <t>PRF184D</t>
  </si>
  <si>
    <t>PRF184E</t>
  </si>
  <si>
    <t>PRAIRIES (TREATY No. 10 (ISLE À LA CROSSE TREATY))</t>
  </si>
  <si>
    <t>PRI165</t>
  </si>
  <si>
    <t>PRI165A</t>
  </si>
  <si>
    <t>PRI165B</t>
  </si>
  <si>
    <t>PRI192</t>
  </si>
  <si>
    <t>PRI192A</t>
  </si>
  <si>
    <t>PRI192B</t>
  </si>
  <si>
    <t>PRI192C</t>
  </si>
  <si>
    <t>PRI192D</t>
  </si>
  <si>
    <t>PRI193</t>
  </si>
  <si>
    <t>PRI193A</t>
  </si>
  <si>
    <t>PRI193B</t>
  </si>
  <si>
    <t>Survey in 1876 seemingly not taken up, new survey conducted in 1880 at File Hills. Seemingly no surrenders pursued.</t>
  </si>
  <si>
    <t xml:space="preserve">Initially to be located next to "Poor Man's Band" in Touchwood Hills, preliminary survey conducted in 1876 for 16640 acres. Actual survey in 1880 at 45 sq. miles as part of File Hills Agency, "settled" in the fall of that year. In 1901, File Hills Colony established on subdivided portion in SE corner of Peepeekisis First Nation. By 1906, FIle Hills Colony constituted &gt;2/3 of the reserve. </t>
  </si>
  <si>
    <t>Initial survey 1881. Southern portion swapped for land to the west in resurvey 1881. Suggestion of 17600 acres surrendered in 1909 report. 1913 schedule lists 17957.2 (including "For Balgonie Road 23.4 acres"). 1921 census returns found in two places, Qu'Appelle Sub-District #43 with 70 individuals, and Regina sub-distict #36 with 58 individuals, seem to be counted on separate days, does not look like there are any double counts.</t>
  </si>
  <si>
    <t>created 1919, no census records for 1921 and 1931, possibly counted alongside Cumberland House No. 20.</t>
  </si>
  <si>
    <t>created 1919, no census records for 1921 and 1931, possibly counted alongside Pine Bluff No. 20a.</t>
  </si>
  <si>
    <t>Initial survey 1894, no corresponding information in DIA reports. Surveyed for the "Red Earth Band" according to the map. Following June 1908, known as Carrot River 29A. No separate census count, likely counted alongside Red Earth No. 29.</t>
  </si>
  <si>
    <t>located within Treaty 6 but not signatories. Residing in Round Plain area north of Prince Albert in 1890s, offered a reserve, surveyed 1894/5. Reserve extension approved sometime after 1899. Seemingly no surrenders taken. Refferred to as "Sioux Indian Reserve" in 1931 census, crossreferenced names with 1921 census. Matches geographically. Wahpeton is a Dakota/Sioux reserve, so the name reference also makes sense.</t>
  </si>
  <si>
    <t>Chitek Lake</t>
  </si>
  <si>
    <t>Pelican Lake First Nation</t>
  </si>
  <si>
    <t>No map data. Signed adhesion to treaty 6, 1878 under Kenemotayo (Big River No. 118). Adhered to treaty 1889/Received first treaty payments 1890? Unclear when a reserve was actually surveyed. Treaty Land Entitlement claim completed in 1995 but unable to find out whether the report was released. Seemingly no surrenders.</t>
  </si>
  <si>
    <t>PRA191</t>
  </si>
  <si>
    <t>"F" in population counts refers to families. In some instances, DIA officers reported the population of a "band" by the number of families.</t>
  </si>
  <si>
    <t>Signed an adhesion to Treaty 6 in 1878 (unable to verify in DIA reports). Reserve initially surveyed in 1879 but instead Chief Mosquito chose land adjacent to Red Pheasant #108 in Eagle Hills. "Settled" in 1880. Grizzly Bear's Head and Lean Man adjoined Mosquito in 1882, counted as one population until around 1905. Aside from Grand Trunk Railway surrender of 78.28 acres and surrender of adjacent #110 &amp; #111 bands land (later amalgamated with #109), no other surrenders pursued.</t>
  </si>
  <si>
    <t>Signed an adhesion to Treaty 4 in 1877 (unable to confirm in DIA reports). "Settled" adjacent to #109 Mosquito in 1882, reserve surveyed 1884. Grizzly Bear's Head and Lean Man adjoined Mosquito in 1882, counted as one population until around 1905. No separate count in 1921/1931 census. 14,532 acres surrendered for sale in 1905.</t>
  </si>
  <si>
    <t>Signed Treaty 6 adhesion in 1889. Subsequently provided agricultural land thirty miles north of Prince Albert (106C Little Red River) to be conjointly held with Montreal Lake #106. In 1900, the community was made up of two distinct groups, one following James Roberts and living near Lac La Ronge, while the other was following Amos Charles residing near Stanley Mission. In 1909 13 reserves were surveyed in the Lac La Ronge and Stanley Mission area. In 1910, a formalized division was made by a DIA inspector and population counts were divided between Lac La Ronge and Stanley at that time. 1921/1931 census records do not separate population counts among the different reserves. Seemingly no surrenders were taken and additional reserves were added occaisionally up to 1973 making up an initial shortfall in acres allocated for the band.</t>
  </si>
  <si>
    <t>PRF200</t>
  </si>
  <si>
    <t>Southend</t>
  </si>
  <si>
    <t>Signed Treaty 10, 1906. In 1907, Chief William Apesis requested from the commissioner to be given reserves at Snake Lake and Beaver River, it would be another 15 years before this took place. Reserves 192/A/B/C/D surveyed in 1923. 1921/1931 census records do not count additional reserves separately. Seemingly no surrenders taken.</t>
  </si>
  <si>
    <t>PRQA160</t>
  </si>
  <si>
    <t>PRF108</t>
  </si>
  <si>
    <t>PRF105A</t>
  </si>
  <si>
    <t>105A</t>
  </si>
  <si>
    <t>Meadow Lake</t>
  </si>
  <si>
    <t>PRLW27A</t>
  </si>
  <si>
    <t>Carrot River</t>
  </si>
  <si>
    <t>Birch River</t>
  </si>
  <si>
    <t>Following the abandonment of Birch River no. 27 in 1886, survey in 1912 designated 3062 acres for The Pas Band. Eventually refferred to as Carrot River no. 27A.</t>
  </si>
  <si>
    <t>PRQAA</t>
  </si>
  <si>
    <t>According to the 1913 schedule, 105A was created and approved as a "permanent reserve for Meadow Lake band." Designated as timber lands. No map data.</t>
  </si>
  <si>
    <t>Grizzly Bear's Head &amp; Lean Man</t>
  </si>
  <si>
    <t>See PRF184</t>
  </si>
  <si>
    <t>See PRI192</t>
  </si>
  <si>
    <t>See PRA156</t>
  </si>
  <si>
    <t>Created in 1912 with lands exchanged from Kinistin 91. 2 square miles swapped from the north west corner of Kinistin no. 91. Recreated on the map based on current boundaries. No historical map data. No census data, likely counted with Kinistino No. 91.</t>
  </si>
  <si>
    <t>initial survey map is difficult to georeference,  all drawn polygons in the map are an approximation based on a rough georeferences and current reserve boundaries. In 1883, 4025 acres were surveyed, however, 11040 acres were to be alloted to the 345 band members. Many left between 1883 and 1885 for Fort à la Corne (65 sq. mi. surveyed there). Surrender in 1902 of 640 acres according to OIC. "Land Surrender" layer is an approximation based on acreage and rough georeferencing. 20B and 20C added in 1919. 20D in 1926. 1905 population is an outlier</t>
  </si>
  <si>
    <t>184F</t>
  </si>
  <si>
    <t>PRF184F</t>
  </si>
  <si>
    <t>Sturgeon Weir</t>
  </si>
  <si>
    <t>115D</t>
  </si>
  <si>
    <t>112F</t>
  </si>
  <si>
    <t>112C</t>
  </si>
  <si>
    <t>112D</t>
  </si>
  <si>
    <t>110 &amp; 111</t>
  </si>
  <si>
    <t>PRF110 &amp; 111</t>
  </si>
  <si>
    <t>7A</t>
  </si>
  <si>
    <t>Swan Lake</t>
  </si>
  <si>
    <t>124*</t>
  </si>
  <si>
    <t>Present at numbered treaty negotiations in the 1870s but never took treaty. Estimations of around 1,000 Métis and Lakota people living between Wood Mountain and Moose Jaw in the 1870s. Temporary reserve created in 1910. *1911 population drawn from the 1913 DIA report, includes Lakota living in or near Moose Jaw. Wood Mountain Lakota regularly resisted confinement to a reserve, additionally, the Canadian government hesistated to provide them one, hoping they would "return" to the United States. Order-in-Council approved the reserve 1930, remaining HBC land inside the reserve boundaries became reserve land at this time. Either 1915 or 1918, NW 1/4 of section 13 added to the reserve. Surrender without consultation in 1919 of 4960 acres for Soldier Settlement. 1913 schedule provides D.L.S. coordinates of the initial reserve, initial survey layer follows these directions. Map in Claire Thomson's PhD Diss. has a map corroborating the 1913 schedule.</t>
  </si>
  <si>
    <t>Initial survey 1876 represented in the 1881 survey, slightly cut off. 1881, boundaries were adjusted, removing strips of land on the east and south borders and adding the same amount to the west and north borders. 1899, 3,849 acres on the east boundary of the reserve exchanged for 8,640 acres on the west and south borders. West half of section 4 twp 27 range 17 not initially situated within the reserve, likely patended to Church of England when the mission was created in 1876. Exchanged lands in 1899 placed the two sections within the reserve but remained C of E property. Other portions surrendered to the Church of England/Gordon School in 1914, 1919, and 1933.</t>
  </si>
  <si>
    <t>PRLFG7A</t>
  </si>
  <si>
    <t>PRAIRIES (TREATY No. 1 (LOWER FORT GARRY TREATY))</t>
  </si>
  <si>
    <t xml:space="preserve">Surveyed in 1905 as part of Swan Lake No. 7 in Treaty 1/Manitoba to make up for survey errors and deficient treaty land provision there in 1876. Surrendered for sale in 1909. </t>
  </si>
  <si>
    <t>160A</t>
  </si>
  <si>
    <t>PRQA160A</t>
  </si>
  <si>
    <t>Maple Creek</t>
  </si>
  <si>
    <t>Nekaneet First Nation</t>
  </si>
  <si>
    <t>Retroactively accepted into Treaty No. 4 in 1968. Band leader, "Foremost Man" was in Cypress Hills during Qu'Appelle treaty signing, but the band received annuities in 1881 and 1882 and had began farming in the vicinity of Maple Creek. They consistently rejected DIA attempts to move them onto a reserve north of the Canadian Pacific Railway, because of this they did not receive any more treaty annuities. A reserve of 1440 acres was set aside in 1913, no survey map available. 1929 map of Saskatchewan identifies Maple Creek No. 160A as containing Sections 24, 25, and NE 1/4 of 26. Appear sporadically in DIA population counts, counted as "stragglers" for a number of years. Seemingly no surrenders taken. The band successfully negotiated both an outstanding agricultural benefits claim and a treaty land entitlement claim in the 1990s.</t>
  </si>
  <si>
    <t>Saulteaux and Cree</t>
  </si>
  <si>
    <t>Initial survey in 1913 of 20,480 acres to make up for a deficiency in allocation of treaty land for the Saulteaux band. Witchekan Lake Band was considered to be a part of the Saulteaux Band. Disagreements between the government and settlers in the area led to a reduction of the reserve to 4,237 acres in 1919 which was opproved by OIC. Since the Band had not signed Treaty 6 until 1950, the government deprived them of a proper allocation of treaty land according to the Treaty 6 treaty land equation of 640 acres per 5 members at 1913. A TLE claim in 1998 resulted in the return of some land that was initially laid out in 1913. Seemingly no surrenders taken.</t>
  </si>
  <si>
    <t>1909-1914</t>
  </si>
  <si>
    <t>PRF112F</t>
  </si>
  <si>
    <t>PRF112D</t>
  </si>
  <si>
    <t>PRF112C</t>
  </si>
  <si>
    <t>PRF115D</t>
  </si>
  <si>
    <t>Moosomin hay lands, surveyed sometime between 1911-1914, listed as "purchased" in 1913 schedule, containing 571.5 acres. Unclear what "purchased" means. Does not appear on 1929 map of Saskatchewan. Does not appear in 1972 schedule. Surrendered?</t>
  </si>
  <si>
    <t>Set aside for Moosomin and Thunderchild sometime between 1911-1914 containing 1572 acres. Does not appear on 1929 Saskatchewan map or 1972 Schedule. Surrendered?</t>
  </si>
  <si>
    <t>Set aside for Thunderchild in 1914/1915. Appears in 1929 Saskatchewan map and 1972 schedule.</t>
  </si>
  <si>
    <t>Set aside for Moosomin in 1914/1915. Appears in 1929 Saskatchewan map and 1972 schedule.</t>
  </si>
  <si>
    <t>112E</t>
  </si>
  <si>
    <t>PRF112E</t>
  </si>
  <si>
    <t>1911-1914</t>
  </si>
  <si>
    <t>Set aside for Moosomin sometime between 1911-1914 based on Battleford Land District maps published on those dates. Appears in the 1929 Saskatchewan map and the 1972 schedule.</t>
  </si>
  <si>
    <t>Adhered to Treaty 6, 1889 under James Robert's band. Received distinct recognition in 1900 as "Peter Ballendine's Band". Received treaty payments yearly at Pelican Narrows. 184/A/B/C/D/E surveyed 1919. Sturgeon Weir no. 184F potentially surveyed in 1921; the 1929 Map of Saskatchewan shows the reserve, township map available at provincial archives, 1921 CSD map data also marks the location of the reserve, no ascertainable population counts. Southend #200 surveyed in 1930, initial survey size unclear, no map data. Seemingly no surrenders.</t>
  </si>
  <si>
    <t>TREATY/LOCATION</t>
  </si>
  <si>
    <t>TREATY_No.</t>
  </si>
  <si>
    <t>RSRV_No.</t>
  </si>
  <si>
    <t>TPOP_1931</t>
  </si>
  <si>
    <t>TPOP_1921</t>
  </si>
  <si>
    <t>TPOP_1911</t>
  </si>
  <si>
    <t>TPOP_1909</t>
  </si>
  <si>
    <t>TPOP_1905</t>
  </si>
  <si>
    <t>TPOP_1901</t>
  </si>
  <si>
    <t>TPOP_1897</t>
  </si>
  <si>
    <t>RSRV_NAME</t>
  </si>
  <si>
    <t>GRRD_CD_NAME</t>
  </si>
  <si>
    <t>YEAR_TS</t>
  </si>
  <si>
    <t>YEAR_IS</t>
  </si>
  <si>
    <t>YEAR_UPTAKE</t>
  </si>
  <si>
    <t>Data_Certainty</t>
  </si>
  <si>
    <t>POP_AED</t>
  </si>
  <si>
    <t>TPOP_1881</t>
  </si>
  <si>
    <t>TPOP_1885</t>
  </si>
  <si>
    <t>TPOP_1889</t>
  </si>
  <si>
    <t>TPOP_1893</t>
  </si>
  <si>
    <t>ETHNO_GROUP</t>
  </si>
  <si>
    <t>SURR_1884</t>
  </si>
  <si>
    <t>SURR_1888</t>
  </si>
  <si>
    <t>SURR_1897</t>
  </si>
  <si>
    <t>SURR_1899</t>
  </si>
  <si>
    <t>SURR_1901</t>
  </si>
  <si>
    <t>SURR_1902</t>
  </si>
  <si>
    <t>SURR_1904</t>
  </si>
  <si>
    <t>SURR_1905</t>
  </si>
  <si>
    <t>SURR_1906</t>
  </si>
  <si>
    <t>SURR_1907</t>
  </si>
  <si>
    <t>SURR_1908</t>
  </si>
  <si>
    <t>SURR_1909</t>
  </si>
  <si>
    <t>SURR_1910</t>
  </si>
  <si>
    <t>SURR_1911</t>
  </si>
  <si>
    <t>SURR_1914</t>
  </si>
  <si>
    <t>SURR_1917</t>
  </si>
  <si>
    <t>SURR_1918</t>
  </si>
  <si>
    <t>SURR_1919</t>
  </si>
  <si>
    <t>SURR_1920</t>
  </si>
  <si>
    <t>SURR_1925</t>
  </si>
  <si>
    <t>SURR_1927</t>
  </si>
  <si>
    <t>SURR_1928</t>
  </si>
  <si>
    <t>SURR_1932</t>
  </si>
  <si>
    <t>SURR_1933</t>
  </si>
  <si>
    <t>TSURR_BY_1933</t>
  </si>
  <si>
    <t>9,243.7 acres set aside for the creation of 129B in 1930, unclear of exactly which land was set aside. No map data. Provincial Archives has township maps of the area.</t>
  </si>
  <si>
    <t>Amalgamated with Pheasant's Rump #68 and surrendered agreement was signed in 1901. No mention of a vote being held. Moved to White Bear # 70. Total surrender was pursued by Commissioner Laird due to proximity to the CPR railing and decent soil for settler farming opportunities.</t>
  </si>
  <si>
    <t>Amalgamated with Ocean Man #69 and "surrendered" in 1901. Possible that only Ocean Man and White Bear were involved in the negotiations. Moved to White Bear # 70. Total surrender was pursued by Commissioner Laird due to proximity to the CPR railing and decent soil for settler farming opportunities.</t>
  </si>
  <si>
    <t>Signed Treaty 5 as part of "The Pas Band." Reserved surveyed in 1882. According to DIA reports, the majority of the reserve took scrip and were discharged from treaty. Reserve remained empty for a number of years. 1913 schedule suggests 5736 acres were surrendered, likely a typo. Total surrender 1918. Replaced by 27A in 1912 for "The Pas Band" to address treaty land deficit following the surrender of no. 27.</t>
  </si>
  <si>
    <t>Signed Treaty 6, 1876. Long utilized the area around where proposed reserve was to be surveyed. Partially surveyed 1878, completed a few years later. At time of 1885 Resistance, fear around state retaliation for proposed "rebels" caused many Chakastaypasin members to move to other reserves, sometimes with family. Over the years, pressure increased to have full surrender of the reserve for homesteading and settler lumber extraction for nearby settlements. Illegal transfers of #98 members to #100A Cumberland occurred and illegal total surrender accepted by OIC in 1897. Specific claims deliberation still in progress.</t>
  </si>
  <si>
    <t>Surveyed in 1884, unsure of usage or uptake. No population data outside of total Thunderchild population count. Total surrender 1908.</t>
  </si>
  <si>
    <t>Unclear when adhesion to Treaty 6 was signed, ca. 1880/81. Provided hay lands in 1887 to be shared with #115 Thunderchild. Pressure from nearby settlers and government to surrender increased over the decades, continuous rejections by Moosomin band. Total surrender acquired in 1909 of both 112 and 112A from Moosomin band following numerous attempts. New reserve (#112B) surveyed north of North Saskatchwan. $41 million settlement with GoC in 2003.</t>
  </si>
  <si>
    <t>Signed Treaty 10 1906. Initially referred to as the Clear Lake Band, later Peter Pond. Reserve surveyed in 1923. Loss of access to traditional trapping areas when the Primrose Lake Air Weapons Range was created. Seemingly no surrenders taken.</t>
  </si>
  <si>
    <t>PRA106C</t>
  </si>
  <si>
    <t>Initial survey (220 sq miles) was conducted for three bands populated by 945 people. Original reserve no. #75. Listed population of 1,407 while Piapot was in the vicinity of Fort Walsh with many other groups. Initial population at the first reserve location is documented in 1883 at 582 individuals. Deserted this reserve near Indian Head for a reserve in the Qu'Appelle Valley in 1884.</t>
  </si>
  <si>
    <t>Abandoned initial reserve in 1884, moved next Muscowepetung #80 in Qu'Appelle Valley in 1884. Sureveyed in 1885. Partial surrender of 2180 acres in 1918, mostly purchased by the Soldier Settlement Board. Another surrender in 1919 as part of soldier settlement act of 16,318 acres.</t>
  </si>
  <si>
    <t>SURR_1889</t>
  </si>
  <si>
    <t>SURR_1924</t>
  </si>
  <si>
    <t>Signed an adhesion to Treaty 6 in 1878. Initial survey in 1881, little uptake of reserve until late 1880s. Land transferred to the CPR 1932. Specific claim about 1932 railway expropriation resolved in 2023.</t>
  </si>
  <si>
    <t>provided access to crooked lake for fishing. HBC patented land on the reserve in 1885, prior to the acceptance of the reserve in 1889. reduced the reserve in size by 27.5 acres. A road allowance was transferred to the government without compensation in 1924.</t>
  </si>
  <si>
    <t>Abbreviations</t>
  </si>
  <si>
    <t>RSRV</t>
  </si>
  <si>
    <t>Reserve</t>
  </si>
  <si>
    <t>GRRD</t>
  </si>
  <si>
    <t>Gladue Rights Research Database</t>
  </si>
  <si>
    <t>CD</t>
  </si>
  <si>
    <t>Community Directory</t>
  </si>
  <si>
    <t>TS</t>
  </si>
  <si>
    <t>Treaty Signed</t>
  </si>
  <si>
    <t>IS</t>
  </si>
  <si>
    <t>Initial Survey</t>
  </si>
  <si>
    <t>POP</t>
  </si>
  <si>
    <t>Population</t>
  </si>
  <si>
    <t>TPOP</t>
  </si>
  <si>
    <t>Total Population</t>
  </si>
  <si>
    <t>Saskatchewan</t>
  </si>
  <si>
    <t>AB</t>
  </si>
  <si>
    <t>Alberta</t>
  </si>
  <si>
    <t>AED</t>
  </si>
  <si>
    <t>At Earliest Date</t>
  </si>
  <si>
    <t>ABS</t>
  </si>
  <si>
    <t>Absent</t>
  </si>
  <si>
    <t>SURR</t>
  </si>
  <si>
    <t>Surrender</t>
  </si>
  <si>
    <t>ND</t>
  </si>
  <si>
    <t>No Date</t>
  </si>
  <si>
    <t>TSURR</t>
  </si>
  <si>
    <t>Total Surrendered</t>
  </si>
  <si>
    <t>Red Earth Cree Nation</t>
  </si>
  <si>
    <t>Shoal Lake Cree Nation</t>
  </si>
  <si>
    <t>James Smith Cree Nation</t>
  </si>
  <si>
    <t>Keeseekoose First Nation</t>
  </si>
  <si>
    <t>Carry the Kettle Nakoda Nation</t>
  </si>
  <si>
    <t>Muscowpetung Saulteaux Nation</t>
  </si>
  <si>
    <t>Standing Buffalo Dakota Nation</t>
  </si>
  <si>
    <t>NUM_Sort</t>
  </si>
  <si>
    <t>The "NUM_Sort" column is a helper column so that the reserves can be sorted numerically and found easier. This is required because many of the reserve numbers are accompanied by a letter, which makes sorting difficult for excel. The formulas in the helper column convert letters to a decimal i.e. "A" = "0.1" so that they can be sorted more easily.</t>
  </si>
  <si>
    <t>BY_No._OF_FAMILIES</t>
  </si>
  <si>
    <t>N</t>
  </si>
  <si>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</sst>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Verdana"/>
      <family val="2"/>
    </font>
    <font>
      <sz val="10"/>
      <color rgb="FFFF0000"/>
      <name val="Verdana"/>
      <family val="2"/>
    </font>
  </fonts>
  <fills count="2">
    <fill>
      <patternFill patternType="none"/>
    </fill>
    <fill>
      <patternFill patternType="gray125"/>
    </fill>
  </fills>
  <borders count="2">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1">
    <xf numFmtId="0" fontId="0" fillId="0" borderId="0"/>
  </cellStyleXfs>
  <cellXfs count="11">
    <xf numFmtId="0" fontId="0" fillId="0" borderId="0" xfId="0"/>
    <xf numFmtId="1" fontId="0" fillId="0" borderId="0" xfId="0" applyNumberFormat="1" applyAlignment="1">
      <alignment horizontal="right"/>
    </xf>
    <xf numFmtId="2" fontId="0" fillId="0" borderId="0" xfId="0" applyNumberFormat="1"/>
    <xf numFmtId="1" fontId="0" fillId="0" borderId="0" xfId="0" applyNumberFormat="1"/>
    <xf numFmtId="0" fontId="0" fillId="0" borderId="1" xfId="0" applyBorder="1"/>
    <xf numFmtId="0" fontId="0" fillId="0" borderId="0" xfId="0" applyAlignment="1">
      <alignment horizontal="right"/>
    </xf>
    <xf numFmtId="18" fontId="0" fillId="0" borderId="0" xfId="0" applyNumberFormat="1"/>
    <xf numFmtId="0" fontId="1" fillId="0" borderId="0" xfId="0" applyFont="1"/>
    <xf numFmtId="0" fontId="0" fillId="0" borderId="0" xfId="0" applyAlignment="1">
      <alignment vertical="center"/>
    </xf>
    <xf numFmtId="0" fontId="0" fillId="0" borderId="0" xfId="0" applyAlignment="1">
      <alignment vertical="center" wrapText="1"/>
    </xf>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E5A76-9C17-4442-93F2-BADA94A988E8}">
  <dimension ref="A1:BN130"/>
  <sheetViews>
    <sheetView zoomScale="85" zoomScaleNormal="85" workbookViewId="0">
      <selection activeCell="M1" sqref="M1"/>
    </sheetView>
  </sheetViews>
  <sheetFormatPr defaultRowHeight="12.75" customHeight="1" x14ac:dyDescent="0.2"/>
  <cols>
    <col min="1" max="1" width="15.75" customWidth="1"/>
    <col min="2" max="2" width="14" style="10" customWidth="1"/>
    <col min="3" max="3" width="10" style="3" customWidth="1"/>
    <col min="4" max="4" width="40.25" customWidth="1"/>
    <col min="5" max="5" width="13.875" customWidth="1"/>
    <col min="6" max="6" width="22" customWidth="1"/>
    <col min="7" max="7" width="9.75" customWidth="1"/>
    <col min="8" max="8" width="22" customWidth="1"/>
    <col min="9" max="9" width="10.625" customWidth="1"/>
    <col min="10" max="11" width="10.625" style="3" customWidth="1"/>
    <col min="12" max="28" width="10.625" customWidth="1"/>
    <col min="29" max="29" width="22.25" customWidth="1"/>
    <col min="30" max="61" width="10.625" customWidth="1"/>
    <col min="62" max="62" width="10.625" style="4" customWidth="1"/>
    <col min="63" max="64" width="10.625" customWidth="1"/>
    <col min="65" max="65" width="21.125" customWidth="1"/>
    <col min="66" max="66" width="15.25" customWidth="1"/>
  </cols>
  <sheetData>
    <row r="1" spans="1:66" x14ac:dyDescent="0.2">
      <c r="A1" t="s">
        <v>0</v>
      </c>
      <c r="B1" s="10" t="s">
        <v>511</v>
      </c>
      <c r="C1" s="3" t="s">
        <v>606</v>
      </c>
      <c r="D1" t="s">
        <v>509</v>
      </c>
      <c r="E1" t="s">
        <v>510</v>
      </c>
      <c r="F1" t="s">
        <v>519</v>
      </c>
      <c r="G1" t="s">
        <v>1</v>
      </c>
      <c r="H1" t="s">
        <v>520</v>
      </c>
      <c r="I1" t="s">
        <v>521</v>
      </c>
      <c r="J1" s="3" t="s">
        <v>522</v>
      </c>
      <c r="K1" s="3" t="s">
        <v>523</v>
      </c>
      <c r="L1" t="s">
        <v>525</v>
      </c>
      <c r="M1" t="s">
        <v>608</v>
      </c>
      <c r="N1" t="s">
        <v>526</v>
      </c>
      <c r="O1" t="s">
        <v>150</v>
      </c>
      <c r="P1" t="s">
        <v>527</v>
      </c>
      <c r="Q1" t="s">
        <v>151</v>
      </c>
      <c r="R1" t="s">
        <v>528</v>
      </c>
      <c r="S1" t="s">
        <v>152</v>
      </c>
      <c r="T1" t="s">
        <v>529</v>
      </c>
      <c r="U1" t="s">
        <v>153</v>
      </c>
      <c r="V1" t="s">
        <v>518</v>
      </c>
      <c r="W1" t="s">
        <v>517</v>
      </c>
      <c r="X1" t="s">
        <v>516</v>
      </c>
      <c r="Y1" t="s">
        <v>515</v>
      </c>
      <c r="Z1" t="s">
        <v>514</v>
      </c>
      <c r="AA1" t="s">
        <v>513</v>
      </c>
      <c r="AB1" t="s">
        <v>512</v>
      </c>
      <c r="AC1" t="s">
        <v>530</v>
      </c>
      <c r="AD1" t="s">
        <v>2</v>
      </c>
      <c r="AE1" t="s">
        <v>154</v>
      </c>
      <c r="AF1" t="s">
        <v>116</v>
      </c>
      <c r="AG1" t="s">
        <v>149</v>
      </c>
      <c r="AH1" s="2" t="s">
        <v>148</v>
      </c>
      <c r="AI1" s="2" t="s">
        <v>323</v>
      </c>
      <c r="AJ1" s="2" t="s">
        <v>531</v>
      </c>
      <c r="AK1" s="2" t="s">
        <v>532</v>
      </c>
      <c r="AL1" s="2" t="s">
        <v>567</v>
      </c>
      <c r="AM1" s="2" t="s">
        <v>533</v>
      </c>
      <c r="AN1" s="2" t="s">
        <v>534</v>
      </c>
      <c r="AO1" s="2" t="s">
        <v>535</v>
      </c>
      <c r="AP1" s="2" t="s">
        <v>536</v>
      </c>
      <c r="AQ1" s="2" t="s">
        <v>537</v>
      </c>
      <c r="AR1" s="2" t="s">
        <v>538</v>
      </c>
      <c r="AS1" s="2" t="s">
        <v>539</v>
      </c>
      <c r="AT1" s="2" t="s">
        <v>540</v>
      </c>
      <c r="AU1" s="2" t="s">
        <v>541</v>
      </c>
      <c r="AV1" s="2" t="s">
        <v>542</v>
      </c>
      <c r="AW1" s="2" t="s">
        <v>543</v>
      </c>
      <c r="AX1" s="2" t="s">
        <v>544</v>
      </c>
      <c r="AY1" s="2" t="s">
        <v>545</v>
      </c>
      <c r="AZ1" s="2" t="s">
        <v>546</v>
      </c>
      <c r="BA1" s="2" t="s">
        <v>547</v>
      </c>
      <c r="BB1" s="2" t="s">
        <v>548</v>
      </c>
      <c r="BC1" s="2" t="s">
        <v>549</v>
      </c>
      <c r="BD1" s="2" t="s">
        <v>568</v>
      </c>
      <c r="BE1" s="2" t="s">
        <v>550</v>
      </c>
      <c r="BF1" s="2" t="s">
        <v>551</v>
      </c>
      <c r="BG1" s="2" t="s">
        <v>552</v>
      </c>
      <c r="BH1" s="2" t="s">
        <v>553</v>
      </c>
      <c r="BI1" s="2" t="s">
        <v>554</v>
      </c>
      <c r="BJ1" s="4" t="s">
        <v>555</v>
      </c>
      <c r="BK1" t="s">
        <v>115</v>
      </c>
      <c r="BL1" t="s">
        <v>3</v>
      </c>
      <c r="BM1" t="s">
        <v>4</v>
      </c>
      <c r="BN1" t="s">
        <v>524</v>
      </c>
    </row>
    <row r="2" spans="1:66" x14ac:dyDescent="0.2">
      <c r="A2" t="s">
        <v>485</v>
      </c>
      <c r="B2" s="10" t="s">
        <v>480</v>
      </c>
      <c r="C2" s="3">
        <f t="shared" ref="C2:C48" si="0">IF(ISNUMBER(B2), B2, VALUE(LEFT(B2, LEN(B2)-1)) + (CODE(RIGHT(B2,1))-64)/10)</f>
        <v>7.1</v>
      </c>
      <c r="D2" t="s">
        <v>486</v>
      </c>
      <c r="E2">
        <v>1</v>
      </c>
      <c r="F2" t="s">
        <v>481</v>
      </c>
      <c r="G2" t="s">
        <v>7</v>
      </c>
      <c r="I2" s="5">
        <v>1871</v>
      </c>
      <c r="J2" s="3">
        <v>1906</v>
      </c>
      <c r="K2">
        <v>-99</v>
      </c>
      <c r="L2">
        <v>-99</v>
      </c>
      <c r="M2" t="s">
        <v>609</v>
      </c>
      <c r="N2">
        <v>-99</v>
      </c>
      <c r="O2">
        <v>-99</v>
      </c>
      <c r="P2">
        <v>-99</v>
      </c>
      <c r="Q2">
        <v>-99</v>
      </c>
      <c r="R2">
        <v>-99</v>
      </c>
      <c r="S2">
        <v>-99</v>
      </c>
      <c r="T2">
        <v>-99</v>
      </c>
      <c r="U2">
        <v>-99</v>
      </c>
      <c r="V2">
        <v>-99</v>
      </c>
      <c r="W2">
        <v>-99</v>
      </c>
      <c r="X2">
        <v>-99</v>
      </c>
      <c r="Y2">
        <v>-99</v>
      </c>
      <c r="Z2">
        <v>-99</v>
      </c>
      <c r="AA2">
        <v>-99</v>
      </c>
      <c r="AB2">
        <v>-99</v>
      </c>
      <c r="AC2" t="s">
        <v>13</v>
      </c>
      <c r="AE2">
        <v>-99</v>
      </c>
      <c r="AF2">
        <v>2400</v>
      </c>
      <c r="AG2">
        <v>0</v>
      </c>
      <c r="AU2">
        <v>2403</v>
      </c>
      <c r="BJ2">
        <f t="shared" ref="BJ2:BJ33" si="1">SUM(AH2:BI2)</f>
        <v>2403</v>
      </c>
      <c r="BL2">
        <v>0</v>
      </c>
      <c r="BM2" t="s">
        <v>487</v>
      </c>
      <c r="BN2">
        <v>8</v>
      </c>
    </row>
    <row r="3" spans="1:66" x14ac:dyDescent="0.2">
      <c r="A3" t="s">
        <v>14</v>
      </c>
      <c r="B3" s="10">
        <v>20</v>
      </c>
      <c r="C3" s="3">
        <f t="shared" si="0"/>
        <v>20</v>
      </c>
      <c r="D3" t="s">
        <v>12</v>
      </c>
      <c r="E3">
        <v>5</v>
      </c>
      <c r="F3" t="s">
        <v>15</v>
      </c>
      <c r="G3" t="s">
        <v>7</v>
      </c>
      <c r="H3" t="s">
        <v>119</v>
      </c>
      <c r="I3" s="1">
        <v>1875</v>
      </c>
      <c r="J3" s="3">
        <v>1883</v>
      </c>
      <c r="K3">
        <v>1878</v>
      </c>
      <c r="L3">
        <v>345</v>
      </c>
      <c r="M3" t="s">
        <v>609</v>
      </c>
      <c r="N3">
        <v>-99</v>
      </c>
      <c r="O3">
        <v>-99</v>
      </c>
      <c r="P3">
        <v>-99</v>
      </c>
      <c r="Q3">
        <v>-99</v>
      </c>
      <c r="R3">
        <v>93</v>
      </c>
      <c r="S3">
        <v>0</v>
      </c>
      <c r="T3">
        <v>57</v>
      </c>
      <c r="U3">
        <v>4</v>
      </c>
      <c r="V3">
        <v>127</v>
      </c>
      <c r="W3">
        <v>125</v>
      </c>
      <c r="X3">
        <v>465</v>
      </c>
      <c r="Y3">
        <v>143</v>
      </c>
      <c r="Z3">
        <v>152</v>
      </c>
      <c r="AA3">
        <v>80</v>
      </c>
      <c r="AB3">
        <f>50+17</f>
        <v>67</v>
      </c>
      <c r="AC3" t="s">
        <v>117</v>
      </c>
      <c r="AD3">
        <v>11040</v>
      </c>
      <c r="AE3">
        <f>PRODUCT(BL3,640)</f>
        <v>6400</v>
      </c>
      <c r="AF3">
        <v>4025.7</v>
      </c>
      <c r="AG3">
        <v>4010</v>
      </c>
      <c r="AP3">
        <v>640</v>
      </c>
      <c r="BJ3">
        <f t="shared" si="1"/>
        <v>640</v>
      </c>
      <c r="BK3">
        <v>6.29</v>
      </c>
      <c r="BL3">
        <v>10</v>
      </c>
      <c r="BM3" t="s">
        <v>470</v>
      </c>
      <c r="BN3">
        <v>7</v>
      </c>
    </row>
    <row r="4" spans="1:66" x14ac:dyDescent="0.2">
      <c r="A4" t="s">
        <v>131</v>
      </c>
      <c r="B4" s="10" t="s">
        <v>122</v>
      </c>
      <c r="C4" s="3">
        <f t="shared" si="0"/>
        <v>20.100000000000001</v>
      </c>
      <c r="D4" t="s">
        <v>12</v>
      </c>
      <c r="E4">
        <v>5</v>
      </c>
      <c r="F4" t="s">
        <v>126</v>
      </c>
      <c r="G4" t="s">
        <v>7</v>
      </c>
      <c r="H4" t="s">
        <v>119</v>
      </c>
      <c r="I4" s="1">
        <v>1875</v>
      </c>
      <c r="J4" s="3">
        <v>1912</v>
      </c>
      <c r="K4">
        <v>1911</v>
      </c>
      <c r="L4">
        <v>-99</v>
      </c>
      <c r="M4" t="s">
        <v>609</v>
      </c>
      <c r="N4">
        <v>-99</v>
      </c>
      <c r="O4">
        <v>-99</v>
      </c>
      <c r="P4">
        <v>-99</v>
      </c>
      <c r="Q4">
        <v>-99</v>
      </c>
      <c r="R4">
        <v>-99</v>
      </c>
      <c r="S4">
        <v>-99</v>
      </c>
      <c r="T4">
        <v>-99</v>
      </c>
      <c r="U4">
        <v>-99</v>
      </c>
      <c r="V4">
        <v>-99</v>
      </c>
      <c r="W4">
        <v>-99</v>
      </c>
      <c r="X4" s="3">
        <v>-99</v>
      </c>
      <c r="Y4" s="3">
        <v>-99</v>
      </c>
      <c r="Z4" s="3">
        <v>-99</v>
      </c>
      <c r="AA4">
        <f>19+26</f>
        <v>45</v>
      </c>
      <c r="AB4">
        <f>33+24</f>
        <v>57</v>
      </c>
      <c r="AC4" t="s">
        <v>9</v>
      </c>
      <c r="AD4">
        <v>63</v>
      </c>
      <c r="AE4">
        <v>0</v>
      </c>
      <c r="AF4">
        <v>63</v>
      </c>
      <c r="BJ4">
        <f t="shared" si="1"/>
        <v>0</v>
      </c>
      <c r="BL4">
        <v>-99</v>
      </c>
      <c r="BM4" t="s">
        <v>129</v>
      </c>
      <c r="BN4">
        <v>8</v>
      </c>
    </row>
    <row r="5" spans="1:66" x14ac:dyDescent="0.2">
      <c r="A5" t="s">
        <v>132</v>
      </c>
      <c r="B5" s="10" t="s">
        <v>123</v>
      </c>
      <c r="C5" s="3">
        <f t="shared" si="0"/>
        <v>20.2</v>
      </c>
      <c r="D5" t="s">
        <v>12</v>
      </c>
      <c r="E5">
        <v>5</v>
      </c>
      <c r="F5" t="s">
        <v>126</v>
      </c>
      <c r="G5" t="s">
        <v>7</v>
      </c>
      <c r="H5" t="s">
        <v>119</v>
      </c>
      <c r="I5" s="1">
        <v>1875</v>
      </c>
      <c r="J5" s="3">
        <v>1919</v>
      </c>
      <c r="K5">
        <v>-99</v>
      </c>
      <c r="L5">
        <v>-99</v>
      </c>
      <c r="M5" t="s">
        <v>609</v>
      </c>
      <c r="N5">
        <v>-99</v>
      </c>
      <c r="O5">
        <v>-99</v>
      </c>
      <c r="P5">
        <v>-99</v>
      </c>
      <c r="Q5">
        <v>-99</v>
      </c>
      <c r="R5">
        <v>-99</v>
      </c>
      <c r="S5">
        <v>-99</v>
      </c>
      <c r="T5">
        <v>-99</v>
      </c>
      <c r="U5">
        <v>-99</v>
      </c>
      <c r="V5">
        <v>-99</v>
      </c>
      <c r="W5">
        <v>-99</v>
      </c>
      <c r="X5" s="3">
        <v>-99</v>
      </c>
      <c r="Y5" s="3">
        <v>-99</v>
      </c>
      <c r="Z5" s="3">
        <v>-99</v>
      </c>
      <c r="AA5" s="3">
        <v>-99</v>
      </c>
      <c r="AB5" s="3">
        <v>8</v>
      </c>
      <c r="AC5" t="s">
        <v>9</v>
      </c>
      <c r="AD5">
        <v>343.4</v>
      </c>
      <c r="AE5">
        <v>0</v>
      </c>
      <c r="AF5">
        <v>-99</v>
      </c>
      <c r="BJ5">
        <f t="shared" si="1"/>
        <v>0</v>
      </c>
      <c r="BL5">
        <v>-99</v>
      </c>
      <c r="BM5" t="s">
        <v>440</v>
      </c>
      <c r="BN5">
        <v>8</v>
      </c>
    </row>
    <row r="6" spans="1:66" x14ac:dyDescent="0.2">
      <c r="A6" t="s">
        <v>133</v>
      </c>
      <c r="B6" s="10" t="s">
        <v>124</v>
      </c>
      <c r="C6" s="3">
        <f t="shared" si="0"/>
        <v>20.3</v>
      </c>
      <c r="D6" t="s">
        <v>12</v>
      </c>
      <c r="E6">
        <v>5</v>
      </c>
      <c r="F6" t="s">
        <v>127</v>
      </c>
      <c r="G6" t="s">
        <v>7</v>
      </c>
      <c r="H6" t="s">
        <v>119</v>
      </c>
      <c r="I6" s="1">
        <v>1875</v>
      </c>
      <c r="J6" s="3">
        <v>1919</v>
      </c>
      <c r="K6">
        <v>1919</v>
      </c>
      <c r="L6">
        <v>-99</v>
      </c>
      <c r="M6" t="s">
        <v>609</v>
      </c>
      <c r="N6">
        <v>-99</v>
      </c>
      <c r="O6">
        <v>-99</v>
      </c>
      <c r="P6">
        <v>-99</v>
      </c>
      <c r="Q6">
        <v>-99</v>
      </c>
      <c r="R6">
        <v>-99</v>
      </c>
      <c r="S6">
        <v>-99</v>
      </c>
      <c r="T6">
        <v>-99</v>
      </c>
      <c r="U6">
        <v>-99</v>
      </c>
      <c r="V6">
        <v>-99</v>
      </c>
      <c r="W6">
        <v>-99</v>
      </c>
      <c r="X6" s="3">
        <v>-99</v>
      </c>
      <c r="Y6" s="3">
        <v>-99</v>
      </c>
      <c r="Z6" s="3">
        <v>-99</v>
      </c>
      <c r="AA6" s="3">
        <v>-99</v>
      </c>
      <c r="AB6" s="3">
        <v>-99</v>
      </c>
      <c r="AC6" t="s">
        <v>9</v>
      </c>
      <c r="AD6">
        <v>234.47</v>
      </c>
      <c r="AE6">
        <v>-99</v>
      </c>
      <c r="AF6">
        <v>-99</v>
      </c>
      <c r="BJ6">
        <f t="shared" si="1"/>
        <v>0</v>
      </c>
      <c r="BL6">
        <v>-99</v>
      </c>
      <c r="BM6" t="s">
        <v>439</v>
      </c>
      <c r="BN6" s="3">
        <v>8</v>
      </c>
    </row>
    <row r="7" spans="1:66" x14ac:dyDescent="0.2">
      <c r="A7" t="s">
        <v>134</v>
      </c>
      <c r="B7" s="10" t="s">
        <v>125</v>
      </c>
      <c r="C7" s="3">
        <f t="shared" si="0"/>
        <v>20.399999999999999</v>
      </c>
      <c r="D7" t="s">
        <v>12</v>
      </c>
      <c r="E7">
        <v>5</v>
      </c>
      <c r="F7" t="s">
        <v>128</v>
      </c>
      <c r="G7" t="s">
        <v>7</v>
      </c>
      <c r="H7" t="s">
        <v>119</v>
      </c>
      <c r="I7" s="1">
        <v>1875</v>
      </c>
      <c r="J7" s="3">
        <v>1926</v>
      </c>
      <c r="K7">
        <v>-99</v>
      </c>
      <c r="L7">
        <v>-99</v>
      </c>
      <c r="M7" t="s">
        <v>609</v>
      </c>
      <c r="N7">
        <v>-99</v>
      </c>
      <c r="O7">
        <v>-99</v>
      </c>
      <c r="P7">
        <v>-99</v>
      </c>
      <c r="Q7">
        <v>-99</v>
      </c>
      <c r="R7">
        <v>-99</v>
      </c>
      <c r="S7">
        <v>-99</v>
      </c>
      <c r="T7">
        <v>-99</v>
      </c>
      <c r="U7">
        <v>-99</v>
      </c>
      <c r="V7">
        <v>-99</v>
      </c>
      <c r="W7">
        <v>-99</v>
      </c>
      <c r="X7">
        <v>-99</v>
      </c>
      <c r="Y7">
        <v>-99</v>
      </c>
      <c r="Z7">
        <v>-99</v>
      </c>
      <c r="AA7">
        <v>-99</v>
      </c>
      <c r="AB7">
        <v>49</v>
      </c>
      <c r="AC7" t="s">
        <v>9</v>
      </c>
      <c r="AD7">
        <v>640</v>
      </c>
      <c r="AF7">
        <v>-99</v>
      </c>
      <c r="BJ7">
        <f t="shared" si="1"/>
        <v>0</v>
      </c>
      <c r="BL7">
        <v>-99</v>
      </c>
      <c r="BM7" t="s">
        <v>130</v>
      </c>
      <c r="BN7">
        <v>8</v>
      </c>
    </row>
    <row r="8" spans="1:66" x14ac:dyDescent="0.2">
      <c r="A8" t="s">
        <v>16</v>
      </c>
      <c r="B8" s="10">
        <v>27</v>
      </c>
      <c r="C8" s="3">
        <f t="shared" si="0"/>
        <v>27</v>
      </c>
      <c r="D8" t="s">
        <v>12</v>
      </c>
      <c r="E8">
        <v>5</v>
      </c>
      <c r="F8" t="s">
        <v>461</v>
      </c>
      <c r="G8" t="s">
        <v>7</v>
      </c>
      <c r="I8" s="1">
        <v>1875</v>
      </c>
      <c r="J8" s="3">
        <v>1882</v>
      </c>
      <c r="K8">
        <v>1880</v>
      </c>
      <c r="L8">
        <v>20</v>
      </c>
      <c r="M8" t="s">
        <v>610</v>
      </c>
      <c r="N8">
        <v>-99</v>
      </c>
      <c r="O8">
        <v>-99</v>
      </c>
      <c r="P8">
        <v>-99</v>
      </c>
      <c r="Q8">
        <v>-99</v>
      </c>
      <c r="R8">
        <v>-99</v>
      </c>
      <c r="S8">
        <v>-99</v>
      </c>
      <c r="T8">
        <v>-99</v>
      </c>
      <c r="U8">
        <v>-99</v>
      </c>
      <c r="V8">
        <v>-99</v>
      </c>
      <c r="W8">
        <v>-99</v>
      </c>
      <c r="X8">
        <v>-99</v>
      </c>
      <c r="Y8">
        <v>-99</v>
      </c>
      <c r="Z8">
        <v>-99</v>
      </c>
      <c r="AA8">
        <v>-99</v>
      </c>
      <c r="AB8">
        <v>38</v>
      </c>
      <c r="AC8" t="s">
        <v>117</v>
      </c>
      <c r="AD8">
        <v>5373</v>
      </c>
      <c r="AE8">
        <f>PRODUCT(BL8,640)</f>
        <v>5376</v>
      </c>
      <c r="AF8">
        <v>5736</v>
      </c>
      <c r="AG8">
        <v>-99</v>
      </c>
      <c r="BA8">
        <v>5376</v>
      </c>
      <c r="BJ8">
        <f t="shared" si="1"/>
        <v>5376</v>
      </c>
      <c r="BL8">
        <v>8.4</v>
      </c>
      <c r="BM8" t="s">
        <v>559</v>
      </c>
      <c r="BN8">
        <v>8</v>
      </c>
    </row>
    <row r="9" spans="1:66" x14ac:dyDescent="0.2">
      <c r="A9" t="s">
        <v>459</v>
      </c>
      <c r="B9" s="10" t="s">
        <v>17</v>
      </c>
      <c r="C9" s="3">
        <f t="shared" si="0"/>
        <v>27.1</v>
      </c>
      <c r="D9" t="s">
        <v>12</v>
      </c>
      <c r="E9">
        <v>5</v>
      </c>
      <c r="F9" t="s">
        <v>460</v>
      </c>
      <c r="G9" t="s">
        <v>7</v>
      </c>
      <c r="H9" t="s">
        <v>120</v>
      </c>
      <c r="I9" s="1">
        <v>1875</v>
      </c>
      <c r="J9" s="3">
        <v>1912</v>
      </c>
      <c r="K9">
        <v>-99</v>
      </c>
      <c r="L9">
        <v>-99</v>
      </c>
      <c r="M9" t="s">
        <v>609</v>
      </c>
      <c r="N9">
        <v>-99</v>
      </c>
      <c r="O9">
        <v>-99</v>
      </c>
      <c r="P9">
        <v>-99</v>
      </c>
      <c r="Q9">
        <v>-99</v>
      </c>
      <c r="R9">
        <v>-99</v>
      </c>
      <c r="S9">
        <v>-99</v>
      </c>
      <c r="T9">
        <v>-99</v>
      </c>
      <c r="U9">
        <v>-99</v>
      </c>
      <c r="V9">
        <v>-99</v>
      </c>
      <c r="W9">
        <v>-99</v>
      </c>
      <c r="X9">
        <v>-99</v>
      </c>
      <c r="Y9">
        <v>-99</v>
      </c>
      <c r="Z9">
        <v>-99</v>
      </c>
      <c r="AA9">
        <v>-99</v>
      </c>
      <c r="AB9">
        <v>-99</v>
      </c>
      <c r="AC9" t="s">
        <v>117</v>
      </c>
      <c r="AD9">
        <v>3062</v>
      </c>
      <c r="AE9">
        <v>-99</v>
      </c>
      <c r="AF9">
        <v>3062</v>
      </c>
      <c r="AG9">
        <v>3194</v>
      </c>
      <c r="BJ9">
        <f t="shared" si="1"/>
        <v>0</v>
      </c>
      <c r="BL9">
        <v>8.4</v>
      </c>
      <c r="BM9" t="s">
        <v>462</v>
      </c>
      <c r="BN9">
        <v>8</v>
      </c>
    </row>
    <row r="10" spans="1:66" x14ac:dyDescent="0.2">
      <c r="A10" t="s">
        <v>18</v>
      </c>
      <c r="B10" s="10">
        <v>28</v>
      </c>
      <c r="C10" s="3">
        <f t="shared" si="0"/>
        <v>28</v>
      </c>
      <c r="D10" t="s">
        <v>12</v>
      </c>
      <c r="E10">
        <v>5</v>
      </c>
      <c r="F10" t="s">
        <v>19</v>
      </c>
      <c r="G10" t="s">
        <v>7</v>
      </c>
      <c r="H10" t="s">
        <v>600</v>
      </c>
      <c r="I10" s="5">
        <v>1876</v>
      </c>
      <c r="J10" s="3">
        <v>1884</v>
      </c>
      <c r="K10">
        <v>1880</v>
      </c>
      <c r="L10">
        <v>61</v>
      </c>
      <c r="M10" t="s">
        <v>609</v>
      </c>
      <c r="N10">
        <v>-99</v>
      </c>
      <c r="O10">
        <v>-99</v>
      </c>
      <c r="P10">
        <v>-99</v>
      </c>
      <c r="Q10">
        <v>-99</v>
      </c>
      <c r="R10">
        <v>-99</v>
      </c>
      <c r="S10">
        <v>-99</v>
      </c>
      <c r="T10">
        <v>-99</v>
      </c>
      <c r="U10">
        <v>-99</v>
      </c>
      <c r="V10">
        <v>-99</v>
      </c>
      <c r="W10">
        <v>-99</v>
      </c>
      <c r="X10" s="3">
        <v>-99</v>
      </c>
      <c r="Y10" s="3">
        <v>-99</v>
      </c>
      <c r="Z10" s="3">
        <v>-99</v>
      </c>
      <c r="AA10" s="3">
        <v>-99</v>
      </c>
      <c r="AB10" s="3">
        <v>-99</v>
      </c>
      <c r="AC10" t="s">
        <v>9</v>
      </c>
      <c r="AD10">
        <v>2190</v>
      </c>
      <c r="AE10">
        <f t="shared" ref="AE10:AE17" si="2">PRODUCT(BL10,640)</f>
        <v>0</v>
      </c>
      <c r="AF10">
        <v>-99</v>
      </c>
      <c r="AG10">
        <v>-99</v>
      </c>
      <c r="BJ10">
        <f t="shared" si="1"/>
        <v>0</v>
      </c>
      <c r="BL10">
        <v>0</v>
      </c>
      <c r="BM10" t="s">
        <v>168</v>
      </c>
      <c r="BN10">
        <v>6</v>
      </c>
    </row>
    <row r="11" spans="1:66" x14ac:dyDescent="0.2">
      <c r="A11" t="s">
        <v>20</v>
      </c>
      <c r="B11" s="10" t="s">
        <v>21</v>
      </c>
      <c r="C11" s="3">
        <f t="shared" si="0"/>
        <v>28.1</v>
      </c>
      <c r="D11" t="s">
        <v>12</v>
      </c>
      <c r="E11">
        <v>5</v>
      </c>
      <c r="F11" t="s">
        <v>19</v>
      </c>
      <c r="G11" t="s">
        <v>7</v>
      </c>
      <c r="H11" t="s">
        <v>600</v>
      </c>
      <c r="I11" s="5">
        <v>1876</v>
      </c>
      <c r="J11" s="3">
        <v>1894</v>
      </c>
      <c r="K11">
        <v>1880</v>
      </c>
      <c r="L11">
        <v>-99</v>
      </c>
      <c r="M11" t="s">
        <v>609</v>
      </c>
      <c r="N11">
        <v>-99</v>
      </c>
      <c r="O11">
        <v>-99</v>
      </c>
      <c r="P11">
        <v>-99</v>
      </c>
      <c r="Q11">
        <v>-99</v>
      </c>
      <c r="R11">
        <v>-99</v>
      </c>
      <c r="S11">
        <v>-99</v>
      </c>
      <c r="T11">
        <v>-99</v>
      </c>
      <c r="U11">
        <v>-99</v>
      </c>
      <c r="V11">
        <v>81</v>
      </c>
      <c r="W11">
        <v>60</v>
      </c>
      <c r="X11" s="3">
        <v>71</v>
      </c>
      <c r="Y11" s="3">
        <v>71</v>
      </c>
      <c r="Z11" s="3">
        <v>83</v>
      </c>
      <c r="AA11" s="3">
        <f>23+50+18</f>
        <v>91</v>
      </c>
      <c r="AB11" s="3">
        <f>31+49</f>
        <v>80</v>
      </c>
      <c r="AC11" t="s">
        <v>9</v>
      </c>
      <c r="AD11">
        <v>2236</v>
      </c>
      <c r="AE11">
        <f t="shared" si="2"/>
        <v>2240</v>
      </c>
      <c r="AF11">
        <v>2887</v>
      </c>
      <c r="AG11">
        <v>3654</v>
      </c>
      <c r="BF11">
        <v>91</v>
      </c>
      <c r="BJ11">
        <f t="shared" si="1"/>
        <v>91</v>
      </c>
      <c r="BL11">
        <v>3.5</v>
      </c>
      <c r="BM11" t="s">
        <v>169</v>
      </c>
      <c r="BN11">
        <v>8</v>
      </c>
    </row>
    <row r="12" spans="1:66" x14ac:dyDescent="0.2">
      <c r="A12" t="s">
        <v>22</v>
      </c>
      <c r="B12" s="10">
        <v>29</v>
      </c>
      <c r="C12" s="3">
        <f t="shared" si="0"/>
        <v>29</v>
      </c>
      <c r="D12" t="s">
        <v>12</v>
      </c>
      <c r="E12">
        <v>5</v>
      </c>
      <c r="F12" t="s">
        <v>23</v>
      </c>
      <c r="G12" t="s">
        <v>7</v>
      </c>
      <c r="H12" t="s">
        <v>599</v>
      </c>
      <c r="I12" s="5">
        <v>1876</v>
      </c>
      <c r="J12" s="3">
        <v>1884</v>
      </c>
      <c r="K12">
        <v>1880</v>
      </c>
      <c r="L12">
        <v>70</v>
      </c>
      <c r="M12" t="s">
        <v>609</v>
      </c>
      <c r="N12">
        <v>-99</v>
      </c>
      <c r="O12">
        <v>-99</v>
      </c>
      <c r="P12">
        <v>-99</v>
      </c>
      <c r="Q12">
        <v>-99</v>
      </c>
      <c r="R12">
        <v>-99</v>
      </c>
      <c r="S12">
        <v>-99</v>
      </c>
      <c r="T12">
        <v>-99</v>
      </c>
      <c r="U12">
        <v>-99</v>
      </c>
      <c r="V12">
        <v>108</v>
      </c>
      <c r="W12">
        <v>124</v>
      </c>
      <c r="X12" s="3">
        <v>119</v>
      </c>
      <c r="Y12" s="3">
        <v>122</v>
      </c>
      <c r="Z12" s="3">
        <v>124</v>
      </c>
      <c r="AA12">
        <f>31+50+50+6</f>
        <v>137</v>
      </c>
      <c r="AB12">
        <f>50+50+50</f>
        <v>150</v>
      </c>
      <c r="AC12" t="s">
        <v>24</v>
      </c>
      <c r="AD12">
        <v>2711.64</v>
      </c>
      <c r="AE12">
        <f t="shared" si="2"/>
        <v>2707.2000000000003</v>
      </c>
      <c r="AF12">
        <v>3595</v>
      </c>
      <c r="AG12">
        <v>3596</v>
      </c>
      <c r="BJ12">
        <f t="shared" si="1"/>
        <v>0</v>
      </c>
      <c r="BL12">
        <v>4.2300000000000004</v>
      </c>
      <c r="BM12" t="s">
        <v>167</v>
      </c>
      <c r="BN12">
        <v>6</v>
      </c>
    </row>
    <row r="13" spans="1:66" x14ac:dyDescent="0.2">
      <c r="A13" t="s">
        <v>25</v>
      </c>
      <c r="B13" s="10" t="s">
        <v>26</v>
      </c>
      <c r="C13" s="3">
        <f t="shared" si="0"/>
        <v>29.1</v>
      </c>
      <c r="D13" t="s">
        <v>12</v>
      </c>
      <c r="E13">
        <v>5</v>
      </c>
      <c r="F13" t="s">
        <v>27</v>
      </c>
      <c r="G13" t="s">
        <v>7</v>
      </c>
      <c r="H13" t="s">
        <v>599</v>
      </c>
      <c r="I13" s="5">
        <v>1876</v>
      </c>
      <c r="J13" s="3">
        <v>1894</v>
      </c>
      <c r="K13">
        <v>-99</v>
      </c>
      <c r="L13">
        <v>-99</v>
      </c>
      <c r="M13" t="s">
        <v>609</v>
      </c>
      <c r="N13">
        <v>-99</v>
      </c>
      <c r="O13">
        <v>-99</v>
      </c>
      <c r="P13">
        <v>-99</v>
      </c>
      <c r="Q13">
        <v>-99</v>
      </c>
      <c r="R13">
        <v>-99</v>
      </c>
      <c r="S13">
        <v>-99</v>
      </c>
      <c r="T13">
        <v>-99</v>
      </c>
      <c r="U13">
        <v>-99</v>
      </c>
      <c r="V13">
        <v>-99</v>
      </c>
      <c r="W13">
        <v>-99</v>
      </c>
      <c r="X13" s="3">
        <v>-99</v>
      </c>
      <c r="Y13" s="3">
        <v>-99</v>
      </c>
      <c r="Z13" s="3">
        <v>-99</v>
      </c>
      <c r="AA13" s="3">
        <v>-99</v>
      </c>
      <c r="AB13" s="3">
        <v>-99</v>
      </c>
      <c r="AC13" t="s">
        <v>28</v>
      </c>
      <c r="AE13">
        <f t="shared" si="2"/>
        <v>2041.6</v>
      </c>
      <c r="AF13">
        <v>2040</v>
      </c>
      <c r="AG13">
        <v>2040</v>
      </c>
      <c r="BJ13">
        <f t="shared" si="1"/>
        <v>0</v>
      </c>
      <c r="BL13">
        <v>3.19</v>
      </c>
      <c r="BM13" t="s">
        <v>441</v>
      </c>
      <c r="BN13">
        <v>5</v>
      </c>
    </row>
    <row r="14" spans="1:66" x14ac:dyDescent="0.2">
      <c r="A14" t="s">
        <v>30</v>
      </c>
      <c r="B14" s="10">
        <v>64</v>
      </c>
      <c r="C14" s="3">
        <f t="shared" si="0"/>
        <v>64</v>
      </c>
      <c r="D14" t="s">
        <v>5</v>
      </c>
      <c r="E14">
        <v>4</v>
      </c>
      <c r="F14" t="s">
        <v>31</v>
      </c>
      <c r="G14" t="s">
        <v>7</v>
      </c>
      <c r="H14" t="s">
        <v>32</v>
      </c>
      <c r="I14" s="1">
        <v>1874</v>
      </c>
      <c r="J14" s="3">
        <v>1877</v>
      </c>
      <c r="K14">
        <v>1874</v>
      </c>
      <c r="L14">
        <v>35</v>
      </c>
      <c r="M14" t="s">
        <v>610</v>
      </c>
      <c r="N14">
        <v>231</v>
      </c>
      <c r="O14">
        <v>0</v>
      </c>
      <c r="P14">
        <v>264</v>
      </c>
      <c r="Q14">
        <v>0</v>
      </c>
      <c r="R14">
        <v>257</v>
      </c>
      <c r="S14">
        <v>0</v>
      </c>
      <c r="T14">
        <v>272</v>
      </c>
      <c r="U14">
        <v>0</v>
      </c>
      <c r="V14">
        <v>275</v>
      </c>
      <c r="W14">
        <v>259</v>
      </c>
      <c r="X14">
        <v>252</v>
      </c>
      <c r="Y14">
        <v>251</v>
      </c>
      <c r="Z14">
        <v>260</v>
      </c>
      <c r="AA14">
        <f>50+50+50+50+50+23</f>
        <v>273</v>
      </c>
      <c r="AB14">
        <f>348-19</f>
        <v>329</v>
      </c>
      <c r="AC14" t="s">
        <v>13</v>
      </c>
      <c r="AD14">
        <v>36160</v>
      </c>
      <c r="AE14">
        <f t="shared" si="2"/>
        <v>36160</v>
      </c>
      <c r="AF14">
        <v>19920</v>
      </c>
      <c r="AG14">
        <v>19986</v>
      </c>
      <c r="AS14">
        <v>16240</v>
      </c>
      <c r="BJ14">
        <f t="shared" si="1"/>
        <v>16240</v>
      </c>
      <c r="BK14">
        <v>56.5</v>
      </c>
      <c r="BL14">
        <v>56.5</v>
      </c>
      <c r="BM14" t="s">
        <v>162</v>
      </c>
      <c r="BN14">
        <v>9</v>
      </c>
    </row>
    <row r="15" spans="1:66" x14ac:dyDescent="0.2">
      <c r="A15" t="s">
        <v>33</v>
      </c>
      <c r="B15" s="10">
        <v>65</v>
      </c>
      <c r="C15" s="3">
        <f t="shared" si="0"/>
        <v>65</v>
      </c>
      <c r="D15" t="s">
        <v>5</v>
      </c>
      <c r="E15">
        <v>4</v>
      </c>
      <c r="F15" t="s">
        <v>34</v>
      </c>
      <c r="G15" t="s">
        <v>7</v>
      </c>
      <c r="H15" t="s">
        <v>35</v>
      </c>
      <c r="I15" s="5">
        <v>1875</v>
      </c>
      <c r="J15" s="3">
        <v>1878</v>
      </c>
      <c r="K15">
        <v>1875</v>
      </c>
      <c r="L15">
        <v>27</v>
      </c>
      <c r="M15" t="s">
        <v>610</v>
      </c>
      <c r="N15">
        <v>198</v>
      </c>
      <c r="O15">
        <v>168</v>
      </c>
      <c r="P15">
        <v>219</v>
      </c>
      <c r="Q15">
        <v>0</v>
      </c>
      <c r="R15">
        <v>224</v>
      </c>
      <c r="S15">
        <v>0</v>
      </c>
      <c r="T15">
        <v>226</v>
      </c>
      <c r="U15">
        <v>1</v>
      </c>
      <c r="V15">
        <v>233</v>
      </c>
      <c r="W15">
        <v>218</v>
      </c>
      <c r="X15" s="3">
        <v>79</v>
      </c>
      <c r="Y15" s="3">
        <v>87</v>
      </c>
      <c r="Z15" s="3">
        <v>90</v>
      </c>
      <c r="AA15">
        <f>19+50+26</f>
        <v>95</v>
      </c>
      <c r="AB15">
        <f>50+36</f>
        <v>86</v>
      </c>
      <c r="AC15" t="s">
        <v>13</v>
      </c>
      <c r="AE15">
        <f t="shared" si="2"/>
        <v>24320</v>
      </c>
      <c r="AF15">
        <v>14945</v>
      </c>
      <c r="AG15">
        <v>15667.4</v>
      </c>
      <c r="AV15">
        <v>11500</v>
      </c>
      <c r="BJ15">
        <f t="shared" si="1"/>
        <v>11500</v>
      </c>
      <c r="BL15">
        <v>38</v>
      </c>
      <c r="BM15" t="s">
        <v>171</v>
      </c>
      <c r="BN15">
        <v>6</v>
      </c>
    </row>
    <row r="16" spans="1:66" x14ac:dyDescent="0.2">
      <c r="A16" t="s">
        <v>36</v>
      </c>
      <c r="B16" s="10">
        <v>66</v>
      </c>
      <c r="C16" s="3">
        <f t="shared" si="0"/>
        <v>66</v>
      </c>
      <c r="D16" t="s">
        <v>5</v>
      </c>
      <c r="E16">
        <v>4</v>
      </c>
      <c r="F16" t="s">
        <v>37</v>
      </c>
      <c r="G16" t="s">
        <v>7</v>
      </c>
      <c r="H16" t="s">
        <v>602</v>
      </c>
      <c r="I16" s="5">
        <v>1874</v>
      </c>
      <c r="J16" s="3">
        <v>1884</v>
      </c>
      <c r="K16">
        <v>1875</v>
      </c>
      <c r="L16">
        <v>36</v>
      </c>
      <c r="M16" t="s">
        <v>610</v>
      </c>
      <c r="N16">
        <v>151</v>
      </c>
      <c r="O16">
        <v>70</v>
      </c>
      <c r="P16">
        <v>170</v>
      </c>
      <c r="Q16">
        <v>4</v>
      </c>
      <c r="R16">
        <v>119</v>
      </c>
      <c r="S16">
        <v>14</v>
      </c>
      <c r="T16">
        <v>95</v>
      </c>
      <c r="U16">
        <v>12</v>
      </c>
      <c r="V16">
        <v>101</v>
      </c>
      <c r="W16">
        <v>94</v>
      </c>
      <c r="X16" s="3">
        <v>138</v>
      </c>
      <c r="Y16" s="3">
        <v>133</v>
      </c>
      <c r="Z16" s="3">
        <v>140</v>
      </c>
      <c r="AA16">
        <f>26+50+50+30</f>
        <v>156</v>
      </c>
      <c r="AB16">
        <f>5+50+50+50+23</f>
        <v>178</v>
      </c>
      <c r="AC16" t="s">
        <v>13</v>
      </c>
      <c r="AD16">
        <v>18302</v>
      </c>
      <c r="AE16">
        <f t="shared" si="2"/>
        <v>18304</v>
      </c>
      <c r="AF16">
        <v>10671</v>
      </c>
      <c r="AV16">
        <v>7600</v>
      </c>
      <c r="BJ16">
        <f t="shared" si="1"/>
        <v>7600</v>
      </c>
      <c r="BL16">
        <v>28.6</v>
      </c>
      <c r="BM16" t="s">
        <v>143</v>
      </c>
      <c r="BN16">
        <v>9</v>
      </c>
    </row>
    <row r="17" spans="1:66" x14ac:dyDescent="0.2">
      <c r="A17" t="s">
        <v>39</v>
      </c>
      <c r="B17" s="10">
        <v>68</v>
      </c>
      <c r="C17" s="3">
        <f t="shared" si="0"/>
        <v>68</v>
      </c>
      <c r="D17" t="s">
        <v>5</v>
      </c>
      <c r="E17">
        <v>2</v>
      </c>
      <c r="F17" t="s">
        <v>40</v>
      </c>
      <c r="G17" t="s">
        <v>7</v>
      </c>
      <c r="H17" t="s">
        <v>41</v>
      </c>
      <c r="I17" s="1">
        <v>1875</v>
      </c>
      <c r="J17" s="3">
        <v>1881</v>
      </c>
      <c r="K17">
        <v>1881</v>
      </c>
      <c r="L17">
        <v>18</v>
      </c>
      <c r="M17" t="s">
        <v>610</v>
      </c>
      <c r="N17">
        <v>130</v>
      </c>
      <c r="O17">
        <v>100</v>
      </c>
      <c r="P17">
        <v>88</v>
      </c>
      <c r="Q17">
        <v>2</v>
      </c>
      <c r="R17">
        <v>65</v>
      </c>
      <c r="S17">
        <v>2</v>
      </c>
      <c r="T17">
        <v>75</v>
      </c>
      <c r="U17">
        <v>11</v>
      </c>
      <c r="V17">
        <v>45</v>
      </c>
      <c r="W17">
        <v>39</v>
      </c>
      <c r="X17" s="3">
        <v>-99</v>
      </c>
      <c r="Y17" s="3">
        <v>-99</v>
      </c>
      <c r="Z17" s="3">
        <v>-99</v>
      </c>
      <c r="AA17" s="3">
        <v>-99</v>
      </c>
      <c r="AB17" s="3">
        <v>-99</v>
      </c>
      <c r="AC17" t="s">
        <v>42</v>
      </c>
      <c r="AD17">
        <v>23424</v>
      </c>
      <c r="AE17">
        <f t="shared" si="2"/>
        <v>0</v>
      </c>
      <c r="AF17">
        <v>0</v>
      </c>
      <c r="AG17">
        <v>0</v>
      </c>
      <c r="AO17">
        <v>23424</v>
      </c>
      <c r="BJ17">
        <f t="shared" si="1"/>
        <v>23424</v>
      </c>
      <c r="BK17">
        <v>36.6</v>
      </c>
      <c r="BL17">
        <v>0</v>
      </c>
      <c r="BM17" t="s">
        <v>558</v>
      </c>
      <c r="BN17">
        <v>5</v>
      </c>
    </row>
    <row r="18" spans="1:66" x14ac:dyDescent="0.2">
      <c r="A18" t="s">
        <v>43</v>
      </c>
      <c r="B18" s="10">
        <v>69</v>
      </c>
      <c r="C18" s="3">
        <f t="shared" si="0"/>
        <v>69</v>
      </c>
      <c r="D18" t="s">
        <v>5</v>
      </c>
      <c r="E18">
        <v>2</v>
      </c>
      <c r="F18" t="s">
        <v>44</v>
      </c>
      <c r="G18" t="s">
        <v>7</v>
      </c>
      <c r="H18" t="s">
        <v>45</v>
      </c>
      <c r="I18" s="1">
        <v>1875</v>
      </c>
      <c r="J18" s="3">
        <v>1881</v>
      </c>
      <c r="K18">
        <v>1876</v>
      </c>
      <c r="L18">
        <v>22</v>
      </c>
      <c r="M18" t="s">
        <v>610</v>
      </c>
      <c r="N18">
        <v>148</v>
      </c>
      <c r="O18">
        <v>88</v>
      </c>
      <c r="P18">
        <v>95</v>
      </c>
      <c r="Q18">
        <v>3</v>
      </c>
      <c r="R18">
        <v>83</v>
      </c>
      <c r="S18">
        <v>0</v>
      </c>
      <c r="T18">
        <v>69</v>
      </c>
      <c r="U18">
        <v>14</v>
      </c>
      <c r="V18">
        <v>35</v>
      </c>
      <c r="W18">
        <v>36</v>
      </c>
      <c r="X18" s="3">
        <v>-99</v>
      </c>
      <c r="Y18" s="3">
        <v>-99</v>
      </c>
      <c r="Z18" s="3">
        <v>-99</v>
      </c>
      <c r="AA18" s="3">
        <v>-99</v>
      </c>
      <c r="AB18" s="3">
        <v>-99</v>
      </c>
      <c r="AC18" t="s">
        <v>156</v>
      </c>
      <c r="AD18">
        <v>23680</v>
      </c>
      <c r="AE18">
        <v>-99</v>
      </c>
      <c r="AF18">
        <v>0</v>
      </c>
      <c r="AG18">
        <v>0</v>
      </c>
      <c r="AO18">
        <v>23680</v>
      </c>
      <c r="BJ18">
        <f t="shared" si="1"/>
        <v>23680</v>
      </c>
      <c r="BK18">
        <v>37</v>
      </c>
      <c r="BL18">
        <v>0</v>
      </c>
      <c r="BM18" t="s">
        <v>557</v>
      </c>
      <c r="BN18">
        <v>7</v>
      </c>
    </row>
    <row r="19" spans="1:66" x14ac:dyDescent="0.2">
      <c r="A19" t="s">
        <v>46</v>
      </c>
      <c r="B19" s="10">
        <v>70</v>
      </c>
      <c r="C19" s="3">
        <f t="shared" si="0"/>
        <v>70</v>
      </c>
      <c r="D19" t="s">
        <v>29</v>
      </c>
      <c r="E19">
        <v>2</v>
      </c>
      <c r="F19" t="s">
        <v>47</v>
      </c>
      <c r="G19" t="s">
        <v>7</v>
      </c>
      <c r="H19" t="s">
        <v>45</v>
      </c>
      <c r="I19" s="5">
        <v>1877</v>
      </c>
      <c r="J19" s="3">
        <v>1876</v>
      </c>
      <c r="K19">
        <v>1876</v>
      </c>
      <c r="L19">
        <v>35</v>
      </c>
      <c r="M19" t="s">
        <v>610</v>
      </c>
      <c r="N19">
        <v>177</v>
      </c>
      <c r="O19">
        <v>157</v>
      </c>
      <c r="P19">
        <v>139</v>
      </c>
      <c r="Q19">
        <v>6</v>
      </c>
      <c r="R19">
        <v>110</v>
      </c>
      <c r="S19">
        <v>11</v>
      </c>
      <c r="T19">
        <v>108</v>
      </c>
      <c r="U19">
        <v>4</v>
      </c>
      <c r="V19">
        <v>126</v>
      </c>
      <c r="W19">
        <v>119</v>
      </c>
      <c r="X19" s="3">
        <v>196</v>
      </c>
      <c r="Y19">
        <v>203</v>
      </c>
      <c r="Z19" s="3">
        <v>222</v>
      </c>
      <c r="AA19">
        <f>18+39+46+47+45+24</f>
        <v>219</v>
      </c>
      <c r="AB19">
        <f>37+50+50+50+50+1</f>
        <v>238</v>
      </c>
      <c r="AC19" t="s">
        <v>48</v>
      </c>
      <c r="AE19">
        <f t="shared" ref="AE19:AE49" si="3">PRODUCT(BL19,640)</f>
        <v>28736</v>
      </c>
      <c r="AF19">
        <v>30039.85</v>
      </c>
      <c r="AG19">
        <v>29747</v>
      </c>
      <c r="BJ19">
        <f t="shared" si="1"/>
        <v>0</v>
      </c>
      <c r="BL19">
        <v>44.9</v>
      </c>
      <c r="BM19" t="s">
        <v>172</v>
      </c>
      <c r="BN19">
        <v>7</v>
      </c>
    </row>
    <row r="20" spans="1:66" x14ac:dyDescent="0.2">
      <c r="A20" t="s">
        <v>49</v>
      </c>
      <c r="B20" s="10">
        <v>71</v>
      </c>
      <c r="C20" s="3">
        <f t="shared" si="0"/>
        <v>71</v>
      </c>
      <c r="D20" t="s">
        <v>5</v>
      </c>
      <c r="E20">
        <v>4</v>
      </c>
      <c r="F20" t="s">
        <v>139</v>
      </c>
      <c r="G20" t="s">
        <v>7</v>
      </c>
      <c r="H20" t="s">
        <v>50</v>
      </c>
      <c r="I20" s="5">
        <v>1874</v>
      </c>
      <c r="J20" s="3">
        <v>1880</v>
      </c>
      <c r="K20">
        <v>1877</v>
      </c>
      <c r="L20">
        <v>37</v>
      </c>
      <c r="M20" t="s">
        <v>610</v>
      </c>
      <c r="N20" s="3">
        <v>-99</v>
      </c>
      <c r="O20" s="3">
        <v>-99</v>
      </c>
      <c r="P20" s="3">
        <v>32</v>
      </c>
      <c r="Q20" s="3">
        <v>0</v>
      </c>
      <c r="R20" s="3">
        <v>383</v>
      </c>
      <c r="S20" s="3">
        <v>242</v>
      </c>
      <c r="T20" s="3">
        <v>294</v>
      </c>
      <c r="U20" s="3">
        <v>169</v>
      </c>
      <c r="V20" s="3">
        <v>120</v>
      </c>
      <c r="W20" s="3">
        <v>108</v>
      </c>
      <c r="X20" s="3">
        <v>102</v>
      </c>
      <c r="Y20" s="3">
        <v>112</v>
      </c>
      <c r="Z20" s="3">
        <v>116</v>
      </c>
      <c r="AA20" s="3">
        <f>50+50+13</f>
        <v>113</v>
      </c>
      <c r="AB20" s="3">
        <f>50+50+19</f>
        <v>119</v>
      </c>
      <c r="AC20" t="s">
        <v>140</v>
      </c>
      <c r="AD20">
        <v>52864</v>
      </c>
      <c r="AE20">
        <f t="shared" si="3"/>
        <v>52864</v>
      </c>
      <c r="AF20">
        <v>52864</v>
      </c>
      <c r="AG20">
        <v>34521</v>
      </c>
      <c r="BB20">
        <v>18223.400000000001</v>
      </c>
      <c r="BJ20">
        <f t="shared" si="1"/>
        <v>18223.400000000001</v>
      </c>
      <c r="BL20">
        <v>82.6</v>
      </c>
      <c r="BM20" t="s">
        <v>141</v>
      </c>
      <c r="BN20">
        <v>7</v>
      </c>
    </row>
    <row r="21" spans="1:66" x14ac:dyDescent="0.2">
      <c r="A21" t="s">
        <v>51</v>
      </c>
      <c r="B21" s="10">
        <v>72</v>
      </c>
      <c r="C21" s="3">
        <f t="shared" si="0"/>
        <v>72</v>
      </c>
      <c r="D21" t="s">
        <v>5</v>
      </c>
      <c r="E21">
        <v>4</v>
      </c>
      <c r="F21" t="s">
        <v>52</v>
      </c>
      <c r="G21" t="s">
        <v>7</v>
      </c>
      <c r="H21" t="s">
        <v>53</v>
      </c>
      <c r="I21" s="5">
        <v>1874</v>
      </c>
      <c r="J21" s="3">
        <v>1880</v>
      </c>
      <c r="K21">
        <v>1877</v>
      </c>
      <c r="L21">
        <v>58</v>
      </c>
      <c r="M21" t="s">
        <v>610</v>
      </c>
      <c r="N21">
        <v>-99</v>
      </c>
      <c r="O21">
        <v>-99</v>
      </c>
      <c r="P21">
        <v>246</v>
      </c>
      <c r="Q21">
        <v>0</v>
      </c>
      <c r="R21">
        <v>237</v>
      </c>
      <c r="S21">
        <v>96</v>
      </c>
      <c r="T21">
        <v>225</v>
      </c>
      <c r="U21">
        <v>98</v>
      </c>
      <c r="V21">
        <v>128</v>
      </c>
      <c r="W21">
        <v>110</v>
      </c>
      <c r="X21">
        <v>84</v>
      </c>
      <c r="Y21">
        <v>97</v>
      </c>
      <c r="Z21">
        <v>103</v>
      </c>
      <c r="AA21">
        <f>32+50+36</f>
        <v>118</v>
      </c>
      <c r="AB21">
        <f>50+50+50+6</f>
        <v>156</v>
      </c>
      <c r="AC21" t="s">
        <v>140</v>
      </c>
      <c r="AD21">
        <v>46720</v>
      </c>
      <c r="AE21">
        <f t="shared" si="3"/>
        <v>46720</v>
      </c>
      <c r="AF21">
        <v>14605.6</v>
      </c>
      <c r="AG21">
        <v>20660</v>
      </c>
      <c r="AT21">
        <v>33281</v>
      </c>
      <c r="BJ21">
        <f t="shared" si="1"/>
        <v>33281</v>
      </c>
      <c r="BL21">
        <v>73</v>
      </c>
      <c r="BM21" t="s">
        <v>138</v>
      </c>
      <c r="BN21">
        <v>7</v>
      </c>
    </row>
    <row r="22" spans="1:66" x14ac:dyDescent="0.2">
      <c r="A22" t="s">
        <v>54</v>
      </c>
      <c r="B22" s="10" t="s">
        <v>55</v>
      </c>
      <c r="C22" s="3">
        <f t="shared" si="0"/>
        <v>72.099999999999994</v>
      </c>
      <c r="D22" t="s">
        <v>5</v>
      </c>
      <c r="E22">
        <v>4</v>
      </c>
      <c r="F22" t="s">
        <v>56</v>
      </c>
      <c r="G22" t="s">
        <v>7</v>
      </c>
      <c r="H22" t="s">
        <v>53</v>
      </c>
      <c r="I22" s="5">
        <v>1874</v>
      </c>
      <c r="J22" s="3">
        <v>1881</v>
      </c>
      <c r="K22">
        <v>-99</v>
      </c>
      <c r="L22">
        <v>-99</v>
      </c>
      <c r="M22" t="s">
        <v>609</v>
      </c>
      <c r="N22" s="3">
        <v>-99</v>
      </c>
      <c r="O22" s="3">
        <v>-99</v>
      </c>
      <c r="P22" s="3">
        <v>-99</v>
      </c>
      <c r="Q22" s="3">
        <v>-99</v>
      </c>
      <c r="R22" s="3">
        <v>-99</v>
      </c>
      <c r="S22" s="3">
        <v>-99</v>
      </c>
      <c r="T22" s="3">
        <v>-99</v>
      </c>
      <c r="U22" s="3">
        <v>-99</v>
      </c>
      <c r="V22" s="3">
        <v>-99</v>
      </c>
      <c r="W22" s="3">
        <v>-99</v>
      </c>
      <c r="X22" s="3">
        <v>-99</v>
      </c>
      <c r="Y22" s="3">
        <v>-99</v>
      </c>
      <c r="Z22" s="3">
        <v>-99</v>
      </c>
      <c r="AA22" s="3">
        <v>-99</v>
      </c>
      <c r="AB22" s="3">
        <v>-99</v>
      </c>
      <c r="AC22" t="s">
        <v>9</v>
      </c>
      <c r="AD22">
        <v>96</v>
      </c>
      <c r="AE22">
        <f t="shared" si="3"/>
        <v>96</v>
      </c>
      <c r="AL22">
        <v>27.5</v>
      </c>
      <c r="AY22">
        <v>96</v>
      </c>
      <c r="BD22">
        <v>2.64</v>
      </c>
      <c r="BJ22">
        <f t="shared" si="1"/>
        <v>126.14</v>
      </c>
      <c r="BL22">
        <v>0.15</v>
      </c>
      <c r="BM22" t="s">
        <v>570</v>
      </c>
      <c r="BN22">
        <v>9</v>
      </c>
    </row>
    <row r="23" spans="1:66" x14ac:dyDescent="0.2">
      <c r="A23" t="s">
        <v>57</v>
      </c>
      <c r="B23" s="10">
        <v>73</v>
      </c>
      <c r="C23" s="3">
        <f t="shared" si="0"/>
        <v>73</v>
      </c>
      <c r="D23" t="s">
        <v>5</v>
      </c>
      <c r="E23">
        <v>4</v>
      </c>
      <c r="F23" t="s">
        <v>58</v>
      </c>
      <c r="G23" t="s">
        <v>7</v>
      </c>
      <c r="H23" t="s">
        <v>59</v>
      </c>
      <c r="I23" s="1">
        <v>1874</v>
      </c>
      <c r="J23" s="3">
        <v>1880</v>
      </c>
      <c r="K23">
        <v>1877</v>
      </c>
      <c r="L23">
        <v>37</v>
      </c>
      <c r="M23" t="s">
        <v>610</v>
      </c>
      <c r="N23">
        <v>365</v>
      </c>
      <c r="O23">
        <v>331</v>
      </c>
      <c r="P23">
        <v>232</v>
      </c>
      <c r="Q23">
        <v>32</v>
      </c>
      <c r="R23">
        <v>255</v>
      </c>
      <c r="S23">
        <v>81</v>
      </c>
      <c r="T23">
        <v>229</v>
      </c>
      <c r="U23">
        <v>87</v>
      </c>
      <c r="V23">
        <v>175</v>
      </c>
      <c r="W23">
        <v>155</v>
      </c>
      <c r="X23">
        <v>173</v>
      </c>
      <c r="Y23">
        <v>196</v>
      </c>
      <c r="Z23">
        <v>210</v>
      </c>
      <c r="AA23">
        <f>13+50+50+49+50+30</f>
        <v>242</v>
      </c>
      <c r="AB23">
        <f>50+50+50+50+50+49</f>
        <v>299</v>
      </c>
      <c r="AC23" t="s">
        <v>118</v>
      </c>
      <c r="AD23">
        <v>59920</v>
      </c>
      <c r="AE23">
        <f t="shared" si="3"/>
        <v>49920</v>
      </c>
      <c r="AF23">
        <v>29082.81</v>
      </c>
      <c r="AT23">
        <v>30837.19</v>
      </c>
      <c r="BJ23">
        <f t="shared" si="1"/>
        <v>30837.19</v>
      </c>
      <c r="BK23">
        <v>63</v>
      </c>
      <c r="BL23">
        <v>78</v>
      </c>
      <c r="BM23" t="s">
        <v>161</v>
      </c>
      <c r="BN23">
        <v>7</v>
      </c>
    </row>
    <row r="24" spans="1:66" x14ac:dyDescent="0.2">
      <c r="A24" t="s">
        <v>60</v>
      </c>
      <c r="B24" s="10" t="s">
        <v>61</v>
      </c>
      <c r="C24" s="3">
        <f t="shared" si="0"/>
        <v>73.099999999999994</v>
      </c>
      <c r="D24" t="s">
        <v>5</v>
      </c>
      <c r="E24">
        <v>4</v>
      </c>
      <c r="F24" t="s">
        <v>62</v>
      </c>
      <c r="G24" t="s">
        <v>7</v>
      </c>
      <c r="H24" t="s">
        <v>146</v>
      </c>
      <c r="I24" s="5">
        <v>1874</v>
      </c>
      <c r="J24" s="3">
        <v>1884</v>
      </c>
      <c r="K24">
        <v>1882</v>
      </c>
      <c r="L24">
        <v>73</v>
      </c>
      <c r="M24" t="s">
        <v>609</v>
      </c>
      <c r="N24">
        <v>-99</v>
      </c>
      <c r="O24">
        <v>-99</v>
      </c>
      <c r="P24">
        <v>32</v>
      </c>
      <c r="Q24">
        <v>0</v>
      </c>
      <c r="R24">
        <v>-99</v>
      </c>
      <c r="S24">
        <v>-99</v>
      </c>
      <c r="T24">
        <v>-99</v>
      </c>
      <c r="U24">
        <v>-99</v>
      </c>
      <c r="V24">
        <v>-99</v>
      </c>
      <c r="W24">
        <v>-99</v>
      </c>
      <c r="X24" s="3">
        <v>-99</v>
      </c>
      <c r="Y24" s="3">
        <v>-99</v>
      </c>
      <c r="Z24" s="3">
        <v>-99</v>
      </c>
      <c r="AA24">
        <f>20</f>
        <v>20</v>
      </c>
      <c r="AB24" s="3">
        <v>24</v>
      </c>
      <c r="AC24" t="s">
        <v>9</v>
      </c>
      <c r="AE24">
        <f t="shared" si="3"/>
        <v>6976</v>
      </c>
      <c r="AF24">
        <v>6717</v>
      </c>
      <c r="AT24">
        <v>6717</v>
      </c>
      <c r="BJ24">
        <f t="shared" si="1"/>
        <v>6717</v>
      </c>
      <c r="BL24">
        <v>10.9</v>
      </c>
      <c r="BM24" t="s">
        <v>147</v>
      </c>
      <c r="BN24">
        <v>7</v>
      </c>
    </row>
    <row r="25" spans="1:66" x14ac:dyDescent="0.2">
      <c r="A25" t="s">
        <v>63</v>
      </c>
      <c r="B25" s="10">
        <v>74</v>
      </c>
      <c r="C25" s="3">
        <f t="shared" si="0"/>
        <v>74</v>
      </c>
      <c r="D25" t="s">
        <v>5</v>
      </c>
      <c r="E25">
        <v>4</v>
      </c>
      <c r="F25" t="s">
        <v>64</v>
      </c>
      <c r="G25" t="s">
        <v>7</v>
      </c>
      <c r="H25" t="s">
        <v>146</v>
      </c>
      <c r="I25" s="5">
        <v>1874</v>
      </c>
      <c r="J25" s="3">
        <v>1876</v>
      </c>
      <c r="K25">
        <v>1875</v>
      </c>
      <c r="L25">
        <v>58</v>
      </c>
      <c r="M25" t="s">
        <v>610</v>
      </c>
      <c r="N25">
        <v>130</v>
      </c>
      <c r="O25">
        <v>55</v>
      </c>
      <c r="P25">
        <v>146</v>
      </c>
      <c r="Q25">
        <v>5</v>
      </c>
      <c r="R25">
        <v>229</v>
      </c>
      <c r="S25">
        <v>16</v>
      </c>
      <c r="T25">
        <v>178</v>
      </c>
      <c r="U25">
        <v>-99</v>
      </c>
      <c r="V25">
        <v>213</v>
      </c>
      <c r="W25">
        <v>204</v>
      </c>
      <c r="X25" s="3">
        <v>161</v>
      </c>
      <c r="Y25">
        <v>147</v>
      </c>
      <c r="Z25" s="3">
        <v>144</v>
      </c>
      <c r="AA25">
        <f>19+50+50+24</f>
        <v>143</v>
      </c>
      <c r="AB25">
        <f>50+50+38</f>
        <v>138</v>
      </c>
      <c r="AC25" t="s">
        <v>145</v>
      </c>
      <c r="AE25">
        <f t="shared" si="3"/>
        <v>21696</v>
      </c>
      <c r="AF25">
        <v>21667.68</v>
      </c>
      <c r="AG25">
        <v>26174</v>
      </c>
      <c r="BJ25">
        <f t="shared" si="1"/>
        <v>0</v>
      </c>
      <c r="BL25">
        <v>33.9</v>
      </c>
      <c r="BM25" t="s">
        <v>165</v>
      </c>
      <c r="BN25">
        <v>7</v>
      </c>
    </row>
    <row r="26" spans="1:66" x14ac:dyDescent="0.2">
      <c r="A26" t="s">
        <v>65</v>
      </c>
      <c r="B26" s="10" t="s">
        <v>66</v>
      </c>
      <c r="C26" s="3">
        <f t="shared" si="0"/>
        <v>74.099999999999994</v>
      </c>
      <c r="D26" t="s">
        <v>5</v>
      </c>
      <c r="E26">
        <v>4</v>
      </c>
      <c r="F26" t="s">
        <v>67</v>
      </c>
      <c r="G26" t="s">
        <v>7</v>
      </c>
      <c r="H26" t="s">
        <v>146</v>
      </c>
      <c r="I26" s="5">
        <v>1874</v>
      </c>
      <c r="J26" s="3">
        <v>1884</v>
      </c>
      <c r="K26">
        <v>1875</v>
      </c>
      <c r="L26">
        <v>7</v>
      </c>
      <c r="M26" t="s">
        <v>610</v>
      </c>
      <c r="N26">
        <v>-99</v>
      </c>
      <c r="O26">
        <v>-99</v>
      </c>
      <c r="P26">
        <v>-99</v>
      </c>
      <c r="Q26">
        <v>-99</v>
      </c>
      <c r="R26">
        <v>-99</v>
      </c>
      <c r="S26">
        <v>-99</v>
      </c>
      <c r="T26">
        <v>-99</v>
      </c>
      <c r="U26">
        <v>-99</v>
      </c>
      <c r="V26">
        <v>-99</v>
      </c>
      <c r="W26">
        <v>-99</v>
      </c>
      <c r="X26" s="3">
        <v>-99</v>
      </c>
      <c r="Y26" s="3">
        <v>-99</v>
      </c>
      <c r="Z26" s="3">
        <v>-99</v>
      </c>
      <c r="AA26" s="3">
        <v>20</v>
      </c>
      <c r="AB26" s="3">
        <v>24</v>
      </c>
      <c r="AC26" t="s">
        <v>9</v>
      </c>
      <c r="AE26">
        <f t="shared" si="3"/>
        <v>3584</v>
      </c>
      <c r="AF26">
        <v>3549.18</v>
      </c>
      <c r="AG26">
        <v>3496</v>
      </c>
      <c r="BJ26">
        <f t="shared" si="1"/>
        <v>0</v>
      </c>
      <c r="BL26">
        <v>5.6</v>
      </c>
      <c r="BM26" t="s">
        <v>166</v>
      </c>
      <c r="BN26">
        <v>6</v>
      </c>
    </row>
    <row r="27" spans="1:66" x14ac:dyDescent="0.2">
      <c r="A27" t="s">
        <v>463</v>
      </c>
      <c r="B27" s="10">
        <v>75</v>
      </c>
      <c r="C27" s="3">
        <f t="shared" si="0"/>
        <v>75</v>
      </c>
      <c r="D27" t="s">
        <v>5</v>
      </c>
      <c r="E27">
        <v>4</v>
      </c>
      <c r="F27" t="s">
        <v>6</v>
      </c>
      <c r="G27" t="s">
        <v>7</v>
      </c>
      <c r="H27" t="s">
        <v>8</v>
      </c>
      <c r="I27">
        <v>1875</v>
      </c>
      <c r="J27" s="3">
        <v>1882</v>
      </c>
      <c r="K27">
        <v>1882</v>
      </c>
      <c r="L27">
        <v>50</v>
      </c>
      <c r="M27" t="s">
        <v>610</v>
      </c>
      <c r="N27">
        <v>1407</v>
      </c>
      <c r="O27">
        <v>1407</v>
      </c>
      <c r="P27">
        <v>-99</v>
      </c>
      <c r="Q27">
        <v>-99</v>
      </c>
      <c r="R27">
        <v>-99</v>
      </c>
      <c r="S27">
        <v>-99</v>
      </c>
      <c r="T27">
        <v>-99</v>
      </c>
      <c r="U27">
        <v>-99</v>
      </c>
      <c r="V27">
        <v>-99</v>
      </c>
      <c r="W27">
        <v>-99</v>
      </c>
      <c r="X27" s="3">
        <v>-99</v>
      </c>
      <c r="Y27" s="3">
        <v>-99</v>
      </c>
      <c r="Z27" s="3">
        <v>-99</v>
      </c>
      <c r="AA27" s="3">
        <v>-99</v>
      </c>
      <c r="AB27" s="3">
        <v>-99</v>
      </c>
      <c r="AC27" t="s">
        <v>9</v>
      </c>
      <c r="AE27">
        <f t="shared" si="3"/>
        <v>0</v>
      </c>
      <c r="BJ27">
        <f t="shared" si="1"/>
        <v>0</v>
      </c>
      <c r="BK27">
        <v>220</v>
      </c>
      <c r="BL27">
        <v>0</v>
      </c>
      <c r="BM27" t="s">
        <v>565</v>
      </c>
      <c r="BN27">
        <v>8</v>
      </c>
    </row>
    <row r="28" spans="1:66" x14ac:dyDescent="0.2">
      <c r="A28" t="s">
        <v>68</v>
      </c>
      <c r="B28" s="10">
        <v>75</v>
      </c>
      <c r="C28" s="3">
        <f t="shared" si="0"/>
        <v>75</v>
      </c>
      <c r="D28" t="s">
        <v>5</v>
      </c>
      <c r="E28">
        <v>4</v>
      </c>
      <c r="F28" t="s">
        <v>6</v>
      </c>
      <c r="G28" t="s">
        <v>7</v>
      </c>
      <c r="H28" t="s">
        <v>8</v>
      </c>
      <c r="I28">
        <v>1875</v>
      </c>
      <c r="J28" s="3">
        <v>1885</v>
      </c>
      <c r="K28">
        <v>1884</v>
      </c>
      <c r="L28">
        <v>582</v>
      </c>
      <c r="M28" t="s">
        <v>609</v>
      </c>
      <c r="N28">
        <v>-99</v>
      </c>
      <c r="O28">
        <v>-99</v>
      </c>
      <c r="P28">
        <v>394</v>
      </c>
      <c r="Q28">
        <v>35</v>
      </c>
      <c r="R28">
        <v>275</v>
      </c>
      <c r="S28">
        <v>12</v>
      </c>
      <c r="T28">
        <v>225</v>
      </c>
      <c r="U28">
        <v>12</v>
      </c>
      <c r="V28">
        <v>269</v>
      </c>
      <c r="W28">
        <v>156</v>
      </c>
      <c r="X28" s="3">
        <v>152</v>
      </c>
      <c r="Y28" s="3">
        <v>139</v>
      </c>
      <c r="Z28" s="3">
        <v>161</v>
      </c>
      <c r="AA28">
        <f>50+39+50+15</f>
        <v>154</v>
      </c>
      <c r="AB28">
        <f>50+50+50+43</f>
        <v>193</v>
      </c>
      <c r="AC28" t="s">
        <v>9</v>
      </c>
      <c r="AD28">
        <v>34547</v>
      </c>
      <c r="AE28">
        <f t="shared" si="3"/>
        <v>34547.199999999997</v>
      </c>
      <c r="AF28">
        <v>33280</v>
      </c>
      <c r="AG28">
        <v>20698</v>
      </c>
      <c r="BA28">
        <v>1906</v>
      </c>
      <c r="BB28">
        <v>16318</v>
      </c>
      <c r="BJ28">
        <f t="shared" si="1"/>
        <v>18224</v>
      </c>
      <c r="BK28">
        <v>54</v>
      </c>
      <c r="BL28">
        <v>53.98</v>
      </c>
      <c r="BM28" t="s">
        <v>566</v>
      </c>
      <c r="BN28">
        <v>9</v>
      </c>
    </row>
    <row r="29" spans="1:66" x14ac:dyDescent="0.2">
      <c r="A29" t="s">
        <v>69</v>
      </c>
      <c r="B29" s="10">
        <v>76</v>
      </c>
      <c r="C29" s="3">
        <f t="shared" si="0"/>
        <v>76</v>
      </c>
      <c r="D29" t="s">
        <v>5</v>
      </c>
      <c r="E29">
        <v>4</v>
      </c>
      <c r="F29" t="s">
        <v>70</v>
      </c>
      <c r="G29" t="s">
        <v>7</v>
      </c>
      <c r="H29" t="s">
        <v>603</v>
      </c>
      <c r="I29" s="1">
        <v>1877</v>
      </c>
      <c r="J29" s="3">
        <v>1883</v>
      </c>
      <c r="K29">
        <v>1882</v>
      </c>
      <c r="L29">
        <v>362</v>
      </c>
      <c r="M29" t="s">
        <v>609</v>
      </c>
      <c r="N29">
        <v>-99</v>
      </c>
      <c r="O29">
        <v>-99</v>
      </c>
      <c r="P29">
        <v>274</v>
      </c>
      <c r="Q29">
        <v>1</v>
      </c>
      <c r="R29">
        <v>248</v>
      </c>
      <c r="S29">
        <v>11</v>
      </c>
      <c r="T29">
        <v>210</v>
      </c>
      <c r="U29">
        <v>33</v>
      </c>
      <c r="V29">
        <v>216</v>
      </c>
      <c r="W29">
        <v>211</v>
      </c>
      <c r="X29">
        <v>208</v>
      </c>
      <c r="Y29">
        <v>207</v>
      </c>
      <c r="Z29">
        <v>212</v>
      </c>
      <c r="AA29">
        <f>50+50+50+49+15</f>
        <v>214</v>
      </c>
      <c r="AB29">
        <f>50+50+50+50+46</f>
        <v>246</v>
      </c>
      <c r="AC29" t="s">
        <v>42</v>
      </c>
      <c r="AE29">
        <f t="shared" si="3"/>
        <v>46854.399999999994</v>
      </c>
      <c r="AF29">
        <v>40897</v>
      </c>
      <c r="AR29">
        <v>5957</v>
      </c>
      <c r="BJ29">
        <f t="shared" si="1"/>
        <v>5957</v>
      </c>
      <c r="BK29">
        <v>220</v>
      </c>
      <c r="BL29">
        <v>73.209999999999994</v>
      </c>
      <c r="BM29" t="s">
        <v>121</v>
      </c>
      <c r="BN29">
        <v>9</v>
      </c>
    </row>
    <row r="30" spans="1:66" x14ac:dyDescent="0.2">
      <c r="A30" t="s">
        <v>71</v>
      </c>
      <c r="B30" s="10">
        <v>78</v>
      </c>
      <c r="C30" s="3">
        <f t="shared" si="0"/>
        <v>78</v>
      </c>
      <c r="D30" t="s">
        <v>5</v>
      </c>
      <c r="E30">
        <v>4</v>
      </c>
      <c r="F30" t="s">
        <v>72</v>
      </c>
      <c r="G30" t="s">
        <v>7</v>
      </c>
      <c r="H30" t="s">
        <v>605</v>
      </c>
      <c r="I30" s="5">
        <v>-99</v>
      </c>
      <c r="J30" s="3">
        <v>1881</v>
      </c>
      <c r="K30">
        <v>1862</v>
      </c>
      <c r="L30">
        <v>200</v>
      </c>
      <c r="M30" t="s">
        <v>609</v>
      </c>
      <c r="N30">
        <v>200</v>
      </c>
      <c r="O30">
        <v>0</v>
      </c>
      <c r="P30">
        <v>240</v>
      </c>
      <c r="Q30">
        <v>0</v>
      </c>
      <c r="R30">
        <v>184</v>
      </c>
      <c r="S30">
        <v>0</v>
      </c>
      <c r="T30">
        <v>185</v>
      </c>
      <c r="U30">
        <v>0</v>
      </c>
      <c r="V30">
        <v>153</v>
      </c>
      <c r="W30">
        <v>172</v>
      </c>
      <c r="X30" s="3">
        <v>210</v>
      </c>
      <c r="Y30" s="3">
        <v>190</v>
      </c>
      <c r="Z30" s="3">
        <v>188</v>
      </c>
      <c r="AA30">
        <f>50+50+50+9</f>
        <v>159</v>
      </c>
      <c r="AB30">
        <f>50+50+50+6</f>
        <v>156</v>
      </c>
      <c r="AC30" t="s">
        <v>73</v>
      </c>
      <c r="AE30">
        <f t="shared" si="3"/>
        <v>4864</v>
      </c>
      <c r="AF30">
        <v>5415</v>
      </c>
      <c r="AG30">
        <v>5550</v>
      </c>
      <c r="BE30">
        <v>144</v>
      </c>
      <c r="BJ30">
        <f t="shared" si="1"/>
        <v>144</v>
      </c>
      <c r="BL30">
        <v>7.6</v>
      </c>
      <c r="BM30" t="s">
        <v>170</v>
      </c>
      <c r="BN30">
        <v>9</v>
      </c>
    </row>
    <row r="31" spans="1:66" x14ac:dyDescent="0.2">
      <c r="A31" t="s">
        <v>74</v>
      </c>
      <c r="B31" s="10">
        <v>79</v>
      </c>
      <c r="C31" s="3">
        <f t="shared" si="0"/>
        <v>79</v>
      </c>
      <c r="D31" t="s">
        <v>5</v>
      </c>
      <c r="E31">
        <v>4</v>
      </c>
      <c r="F31" t="s">
        <v>75</v>
      </c>
      <c r="G31" t="s">
        <v>7</v>
      </c>
      <c r="H31" t="s">
        <v>158</v>
      </c>
      <c r="I31" s="5">
        <v>1874</v>
      </c>
      <c r="J31" s="3">
        <v>1876</v>
      </c>
      <c r="K31">
        <v>1876</v>
      </c>
      <c r="L31">
        <v>49</v>
      </c>
      <c r="M31" t="s">
        <v>610</v>
      </c>
      <c r="N31">
        <v>218</v>
      </c>
      <c r="O31">
        <v>58</v>
      </c>
      <c r="P31">
        <v>257</v>
      </c>
      <c r="Q31">
        <v>0</v>
      </c>
      <c r="R31">
        <v>207</v>
      </c>
      <c r="S31">
        <v>12</v>
      </c>
      <c r="T31">
        <v>185</v>
      </c>
      <c r="U31">
        <v>5</v>
      </c>
      <c r="V31">
        <v>174</v>
      </c>
      <c r="W31">
        <v>134</v>
      </c>
      <c r="X31" s="3">
        <v>133</v>
      </c>
      <c r="Y31" s="3">
        <v>112</v>
      </c>
      <c r="Z31" s="3">
        <v>132</v>
      </c>
      <c r="AA31">
        <f>29+50+50+18</f>
        <v>147</v>
      </c>
      <c r="AB31">
        <f>50+50+50+37</f>
        <v>187</v>
      </c>
      <c r="AC31" t="s">
        <v>38</v>
      </c>
      <c r="AD31">
        <v>36480</v>
      </c>
      <c r="AE31">
        <f t="shared" si="3"/>
        <v>38496</v>
      </c>
      <c r="AF31">
        <v>22143</v>
      </c>
      <c r="AG31">
        <v>22141</v>
      </c>
      <c r="AS31">
        <v>16077</v>
      </c>
      <c r="BJ31">
        <f t="shared" si="1"/>
        <v>16077</v>
      </c>
      <c r="BL31">
        <v>60.15</v>
      </c>
      <c r="BM31" t="s">
        <v>159</v>
      </c>
      <c r="BN31">
        <v>6</v>
      </c>
    </row>
    <row r="32" spans="1:66" x14ac:dyDescent="0.2">
      <c r="A32" t="s">
        <v>76</v>
      </c>
      <c r="B32" s="10">
        <v>80</v>
      </c>
      <c r="C32" s="3">
        <f t="shared" si="0"/>
        <v>80</v>
      </c>
      <c r="D32" t="s">
        <v>5</v>
      </c>
      <c r="E32">
        <v>4</v>
      </c>
      <c r="F32" t="s">
        <v>77</v>
      </c>
      <c r="G32" t="s">
        <v>7</v>
      </c>
      <c r="H32" t="s">
        <v>604</v>
      </c>
      <c r="I32" s="1">
        <v>1875</v>
      </c>
      <c r="J32" s="3">
        <v>1881</v>
      </c>
      <c r="K32">
        <v>1881</v>
      </c>
      <c r="L32">
        <v>34</v>
      </c>
      <c r="M32" t="s">
        <v>610</v>
      </c>
      <c r="N32">
        <v>166</v>
      </c>
      <c r="O32">
        <v>40</v>
      </c>
      <c r="P32">
        <v>212</v>
      </c>
      <c r="Q32">
        <v>30</v>
      </c>
      <c r="R32">
        <v>131</v>
      </c>
      <c r="S32">
        <v>2</v>
      </c>
      <c r="T32">
        <v>124</v>
      </c>
      <c r="U32">
        <v>9</v>
      </c>
      <c r="V32">
        <v>119</v>
      </c>
      <c r="W32">
        <v>82</v>
      </c>
      <c r="X32" s="3">
        <v>81</v>
      </c>
      <c r="Y32" s="3">
        <v>75</v>
      </c>
      <c r="Z32" s="3">
        <v>79</v>
      </c>
      <c r="AA32">
        <v>128</v>
      </c>
      <c r="AB32">
        <f>50+50+36</f>
        <v>136</v>
      </c>
      <c r="AC32" t="s">
        <v>38</v>
      </c>
      <c r="AE32">
        <f t="shared" si="3"/>
        <v>38080</v>
      </c>
      <c r="AF32">
        <v>20122.8</v>
      </c>
      <c r="AG32">
        <v>21226</v>
      </c>
      <c r="AV32">
        <v>17957.2</v>
      </c>
      <c r="BJ32">
        <f t="shared" si="1"/>
        <v>17957.2</v>
      </c>
      <c r="BL32">
        <v>59.5</v>
      </c>
      <c r="BM32" t="s">
        <v>438</v>
      </c>
      <c r="BN32">
        <v>8</v>
      </c>
    </row>
    <row r="33" spans="1:66" x14ac:dyDescent="0.2">
      <c r="A33" t="s">
        <v>78</v>
      </c>
      <c r="B33" s="10" t="s">
        <v>79</v>
      </c>
      <c r="C33" s="3">
        <f t="shared" si="0"/>
        <v>80.099999999999994</v>
      </c>
      <c r="D33" t="s">
        <v>5</v>
      </c>
      <c r="E33">
        <v>4</v>
      </c>
      <c r="F33" t="s">
        <v>80</v>
      </c>
      <c r="G33" t="s">
        <v>7</v>
      </c>
      <c r="H33" t="s">
        <v>136</v>
      </c>
      <c r="I33" s="5">
        <v>1874</v>
      </c>
      <c r="J33" s="3">
        <v>1884</v>
      </c>
      <c r="K33">
        <v>-99</v>
      </c>
      <c r="L33">
        <v>-99</v>
      </c>
      <c r="M33" t="s">
        <v>609</v>
      </c>
      <c r="N33">
        <v>-99</v>
      </c>
      <c r="O33">
        <v>-99</v>
      </c>
      <c r="P33">
        <v>-99</v>
      </c>
      <c r="Q33">
        <v>-99</v>
      </c>
      <c r="R33">
        <v>-99</v>
      </c>
      <c r="S33">
        <v>-99</v>
      </c>
      <c r="T33">
        <v>-99</v>
      </c>
      <c r="U33">
        <v>-99</v>
      </c>
      <c r="V33">
        <v>-99</v>
      </c>
      <c r="W33">
        <v>-99</v>
      </c>
      <c r="X33">
        <v>-99</v>
      </c>
      <c r="Y33">
        <v>-99</v>
      </c>
      <c r="Z33">
        <v>-99</v>
      </c>
      <c r="AA33">
        <v>-99</v>
      </c>
      <c r="AB33">
        <v>-99</v>
      </c>
      <c r="AC33" t="s">
        <v>38</v>
      </c>
      <c r="AE33">
        <f t="shared" si="3"/>
        <v>1427.2</v>
      </c>
      <c r="BA33">
        <v>177.5</v>
      </c>
      <c r="BJ33">
        <f t="shared" si="1"/>
        <v>177.5</v>
      </c>
      <c r="BK33">
        <v>2.2000000000000002</v>
      </c>
      <c r="BL33">
        <v>2.23</v>
      </c>
      <c r="BM33" t="s">
        <v>137</v>
      </c>
      <c r="BN33">
        <v>9</v>
      </c>
    </row>
    <row r="34" spans="1:66" x14ac:dyDescent="0.2">
      <c r="A34" t="s">
        <v>81</v>
      </c>
      <c r="B34" s="10">
        <v>81</v>
      </c>
      <c r="C34" s="3">
        <f t="shared" si="0"/>
        <v>81</v>
      </c>
      <c r="D34" t="s">
        <v>5</v>
      </c>
      <c r="E34">
        <v>4</v>
      </c>
      <c r="F34" t="s">
        <v>82</v>
      </c>
      <c r="G34" t="s">
        <v>7</v>
      </c>
      <c r="H34" t="s">
        <v>83</v>
      </c>
      <c r="I34" s="5">
        <v>1874</v>
      </c>
      <c r="J34" s="3">
        <v>1880</v>
      </c>
      <c r="K34">
        <v>1880</v>
      </c>
      <c r="L34">
        <v>23</v>
      </c>
      <c r="M34" t="s">
        <v>610</v>
      </c>
      <c r="N34">
        <v>52</v>
      </c>
      <c r="O34">
        <v>29</v>
      </c>
      <c r="P34">
        <v>124</v>
      </c>
      <c r="Q34">
        <v>5</v>
      </c>
      <c r="R34">
        <v>112</v>
      </c>
      <c r="S34">
        <v>15</v>
      </c>
      <c r="T34">
        <v>90</v>
      </c>
      <c r="U34">
        <v>4</v>
      </c>
      <c r="V34">
        <v>81</v>
      </c>
      <c r="W34">
        <v>64</v>
      </c>
      <c r="X34" s="3">
        <v>82</v>
      </c>
      <c r="Y34" s="3">
        <v>132</v>
      </c>
      <c r="Z34" s="3">
        <v>148</v>
      </c>
      <c r="AA34">
        <f>36+50+50+19</f>
        <v>155</v>
      </c>
      <c r="AB34">
        <f>50+21+50+50+10+6+5</f>
        <v>192</v>
      </c>
      <c r="AC34" t="s">
        <v>9</v>
      </c>
      <c r="AD34">
        <v>16640</v>
      </c>
      <c r="AE34">
        <f t="shared" si="3"/>
        <v>26624</v>
      </c>
      <c r="AF34">
        <v>26624</v>
      </c>
      <c r="AG34">
        <v>27264</v>
      </c>
      <c r="BJ34">
        <f t="shared" ref="BJ34:BJ63" si="4">SUM(AH34:BI34)</f>
        <v>0</v>
      </c>
      <c r="BK34">
        <v>45</v>
      </c>
      <c r="BL34">
        <v>41.6</v>
      </c>
      <c r="BM34" t="s">
        <v>437</v>
      </c>
      <c r="BN34">
        <v>8</v>
      </c>
    </row>
    <row r="35" spans="1:66" x14ac:dyDescent="0.2">
      <c r="A35" t="s">
        <v>84</v>
      </c>
      <c r="B35" s="10">
        <v>82</v>
      </c>
      <c r="C35" s="3">
        <f t="shared" si="0"/>
        <v>82</v>
      </c>
      <c r="D35" t="s">
        <v>5</v>
      </c>
      <c r="E35">
        <v>4</v>
      </c>
      <c r="F35" t="s">
        <v>85</v>
      </c>
      <c r="G35" t="s">
        <v>7</v>
      </c>
      <c r="H35" t="s">
        <v>86</v>
      </c>
      <c r="I35" s="5">
        <v>1875</v>
      </c>
      <c r="J35" s="3">
        <v>1881</v>
      </c>
      <c r="K35">
        <v>1881</v>
      </c>
      <c r="L35">
        <v>16</v>
      </c>
      <c r="M35" t="s">
        <v>610</v>
      </c>
      <c r="N35">
        <v>40</v>
      </c>
      <c r="O35">
        <v>17</v>
      </c>
      <c r="P35">
        <v>83</v>
      </c>
      <c r="Q35">
        <v>6</v>
      </c>
      <c r="R35">
        <v>64</v>
      </c>
      <c r="S35">
        <v>0</v>
      </c>
      <c r="T35">
        <v>67</v>
      </c>
      <c r="U35">
        <v>0</v>
      </c>
      <c r="V35">
        <v>73</v>
      </c>
      <c r="W35">
        <v>67</v>
      </c>
      <c r="X35" s="3">
        <v>65</v>
      </c>
      <c r="Y35" s="3">
        <v>50</v>
      </c>
      <c r="Z35" s="3">
        <v>46</v>
      </c>
      <c r="AA35">
        <f>46</f>
        <v>46</v>
      </c>
      <c r="AB35">
        <f>50+46+1</f>
        <v>97</v>
      </c>
      <c r="AC35" t="s">
        <v>87</v>
      </c>
      <c r="AD35">
        <v>17940</v>
      </c>
      <c r="AE35">
        <f t="shared" si="3"/>
        <v>14310.4</v>
      </c>
      <c r="AF35">
        <v>14310.4</v>
      </c>
      <c r="AG35">
        <v>15052</v>
      </c>
      <c r="BJ35">
        <f t="shared" si="4"/>
        <v>0</v>
      </c>
      <c r="BL35">
        <v>22.36</v>
      </c>
      <c r="BM35" t="s">
        <v>157</v>
      </c>
      <c r="BN35">
        <v>4</v>
      </c>
    </row>
    <row r="36" spans="1:66" x14ac:dyDescent="0.2">
      <c r="A36" t="s">
        <v>88</v>
      </c>
      <c r="B36" s="10">
        <v>83</v>
      </c>
      <c r="C36" s="3">
        <f t="shared" si="0"/>
        <v>83</v>
      </c>
      <c r="D36" t="s">
        <v>5</v>
      </c>
      <c r="E36">
        <v>4</v>
      </c>
      <c r="F36" t="s">
        <v>89</v>
      </c>
      <c r="G36" t="s">
        <v>7</v>
      </c>
      <c r="H36" t="s">
        <v>90</v>
      </c>
      <c r="I36" s="5">
        <v>1874</v>
      </c>
      <c r="J36" s="3">
        <v>1880</v>
      </c>
      <c r="K36">
        <v>1880</v>
      </c>
      <c r="L36">
        <v>13</v>
      </c>
      <c r="M36" t="s">
        <v>610</v>
      </c>
      <c r="N36">
        <v>50</v>
      </c>
      <c r="O36">
        <v>19</v>
      </c>
      <c r="P36">
        <v>89</v>
      </c>
      <c r="Q36">
        <v>3</v>
      </c>
      <c r="R36">
        <v>58</v>
      </c>
      <c r="S36">
        <v>7</v>
      </c>
      <c r="T36">
        <v>51</v>
      </c>
      <c r="U36">
        <v>0</v>
      </c>
      <c r="V36">
        <v>51</v>
      </c>
      <c r="W36">
        <v>38</v>
      </c>
      <c r="X36" s="3">
        <v>41</v>
      </c>
      <c r="Y36" s="3">
        <v>40</v>
      </c>
      <c r="Z36" s="3">
        <v>41</v>
      </c>
      <c r="AA36">
        <f>46+4</f>
        <v>50</v>
      </c>
      <c r="AB36">
        <f>50+7</f>
        <v>57</v>
      </c>
      <c r="AC36" t="s">
        <v>9</v>
      </c>
      <c r="AE36">
        <f t="shared" si="3"/>
        <v>13760</v>
      </c>
      <c r="AF36">
        <v>13760</v>
      </c>
      <c r="AG36">
        <v>13760</v>
      </c>
      <c r="BJ36">
        <f t="shared" si="4"/>
        <v>0</v>
      </c>
      <c r="BK36">
        <v>38</v>
      </c>
      <c r="BL36">
        <v>21.5</v>
      </c>
      <c r="BM36" t="s">
        <v>436</v>
      </c>
      <c r="BN36">
        <v>8</v>
      </c>
    </row>
    <row r="37" spans="1:66" x14ac:dyDescent="0.2">
      <c r="A37" t="s">
        <v>91</v>
      </c>
      <c r="B37" s="10">
        <v>84</v>
      </c>
      <c r="C37" s="3">
        <f t="shared" si="0"/>
        <v>84</v>
      </c>
      <c r="D37" t="s">
        <v>5</v>
      </c>
      <c r="E37">
        <v>4</v>
      </c>
      <c r="F37" t="s">
        <v>92</v>
      </c>
      <c r="G37" t="s">
        <v>7</v>
      </c>
      <c r="H37" t="s">
        <v>93</v>
      </c>
      <c r="I37" s="5">
        <v>1874</v>
      </c>
      <c r="J37" s="3">
        <v>1880</v>
      </c>
      <c r="K37">
        <v>1880</v>
      </c>
      <c r="L37">
        <v>35</v>
      </c>
      <c r="M37" t="s">
        <v>610</v>
      </c>
      <c r="N37">
        <v>60</v>
      </c>
      <c r="O37">
        <v>28</v>
      </c>
      <c r="P37">
        <v>117</v>
      </c>
      <c r="Q37">
        <v>1</v>
      </c>
      <c r="R37">
        <v>103</v>
      </c>
      <c r="S37">
        <v>10</v>
      </c>
      <c r="T37">
        <v>77</v>
      </c>
      <c r="U37">
        <v>5</v>
      </c>
      <c r="V37">
        <v>75</v>
      </c>
      <c r="W37">
        <v>65</v>
      </c>
      <c r="X37" s="3">
        <v>62</v>
      </c>
      <c r="Y37" s="3">
        <v>56</v>
      </c>
      <c r="Z37" s="3">
        <v>50</v>
      </c>
      <c r="AA37">
        <f>11+25+6</f>
        <v>42</v>
      </c>
      <c r="AB37" s="3">
        <v>37</v>
      </c>
      <c r="AC37" t="s">
        <v>9</v>
      </c>
      <c r="AD37">
        <v>29760</v>
      </c>
      <c r="AE37">
        <f t="shared" si="3"/>
        <v>29760</v>
      </c>
      <c r="AF37">
        <v>29760</v>
      </c>
      <c r="BG37">
        <v>12461</v>
      </c>
      <c r="BJ37">
        <f t="shared" si="4"/>
        <v>12461</v>
      </c>
      <c r="BL37">
        <v>46.5</v>
      </c>
      <c r="BM37" t="s">
        <v>144</v>
      </c>
      <c r="BN37">
        <v>9</v>
      </c>
    </row>
    <row r="38" spans="1:66" x14ac:dyDescent="0.2">
      <c r="A38" t="s">
        <v>94</v>
      </c>
      <c r="B38" s="10">
        <v>85</v>
      </c>
      <c r="C38" s="3">
        <f t="shared" si="0"/>
        <v>85</v>
      </c>
      <c r="D38" t="s">
        <v>5</v>
      </c>
      <c r="E38">
        <v>4</v>
      </c>
      <c r="F38" t="s">
        <v>95</v>
      </c>
      <c r="G38" t="s">
        <v>7</v>
      </c>
      <c r="H38" t="s">
        <v>96</v>
      </c>
      <c r="I38" s="5">
        <v>1874</v>
      </c>
      <c r="J38" s="3">
        <v>1884</v>
      </c>
      <c r="K38">
        <v>1881</v>
      </c>
      <c r="L38">
        <v>41</v>
      </c>
      <c r="M38" t="s">
        <v>610</v>
      </c>
      <c r="N38">
        <v>157</v>
      </c>
      <c r="O38">
        <v>40</v>
      </c>
      <c r="P38">
        <v>282</v>
      </c>
      <c r="Q38">
        <v>0</v>
      </c>
      <c r="R38">
        <v>160</v>
      </c>
      <c r="S38">
        <v>0</v>
      </c>
      <c r="T38">
        <v>148</v>
      </c>
      <c r="U38">
        <v>0</v>
      </c>
      <c r="V38">
        <v>152</v>
      </c>
      <c r="W38">
        <v>141</v>
      </c>
      <c r="X38" s="3">
        <v>140</v>
      </c>
      <c r="Y38" s="3">
        <v>138</v>
      </c>
      <c r="Z38" s="3">
        <v>149</v>
      </c>
      <c r="AA38" s="3">
        <v>207</v>
      </c>
      <c r="AB38" s="3">
        <v>187</v>
      </c>
      <c r="AC38" t="s">
        <v>13</v>
      </c>
      <c r="AE38">
        <f t="shared" si="3"/>
        <v>23040</v>
      </c>
      <c r="AF38">
        <v>23952.82</v>
      </c>
      <c r="AG38">
        <v>17495</v>
      </c>
      <c r="AS38">
        <v>158.18</v>
      </c>
      <c r="AW38">
        <v>160</v>
      </c>
      <c r="BC38">
        <v>7485</v>
      </c>
      <c r="BJ38">
        <f t="shared" si="4"/>
        <v>7803.18</v>
      </c>
      <c r="BK38">
        <v>30</v>
      </c>
      <c r="BL38">
        <v>36</v>
      </c>
      <c r="BM38" t="s">
        <v>155</v>
      </c>
      <c r="BN38">
        <v>8</v>
      </c>
    </row>
    <row r="39" spans="1:66" x14ac:dyDescent="0.2">
      <c r="A39" t="s">
        <v>97</v>
      </c>
      <c r="B39" s="10">
        <v>86</v>
      </c>
      <c r="C39" s="3">
        <f t="shared" si="0"/>
        <v>86</v>
      </c>
      <c r="D39" t="s">
        <v>5</v>
      </c>
      <c r="E39">
        <v>4</v>
      </c>
      <c r="F39" t="s">
        <v>98</v>
      </c>
      <c r="G39" t="s">
        <v>7</v>
      </c>
      <c r="H39" t="s">
        <v>99</v>
      </c>
      <c r="I39" s="5">
        <v>1874</v>
      </c>
      <c r="J39" s="3">
        <v>1876</v>
      </c>
      <c r="K39">
        <v>1875</v>
      </c>
      <c r="L39">
        <v>41</v>
      </c>
      <c r="M39" t="s">
        <v>610</v>
      </c>
      <c r="N39">
        <v>184</v>
      </c>
      <c r="O39">
        <v>64</v>
      </c>
      <c r="P39">
        <v>202</v>
      </c>
      <c r="Q39">
        <v>0</v>
      </c>
      <c r="R39">
        <v>165</v>
      </c>
      <c r="S39">
        <v>9</v>
      </c>
      <c r="T39">
        <v>152</v>
      </c>
      <c r="U39">
        <v>7</v>
      </c>
      <c r="V39">
        <v>161</v>
      </c>
      <c r="W39">
        <v>165</v>
      </c>
      <c r="X39">
        <v>196</v>
      </c>
      <c r="Y39">
        <v>206</v>
      </c>
      <c r="Z39">
        <v>214</v>
      </c>
      <c r="AA39">
        <v>279</v>
      </c>
      <c r="AB39">
        <v>246</v>
      </c>
      <c r="AC39" t="s">
        <v>100</v>
      </c>
      <c r="AD39">
        <v>30720</v>
      </c>
      <c r="AE39">
        <f t="shared" si="3"/>
        <v>30720</v>
      </c>
      <c r="AF39">
        <v>35456</v>
      </c>
      <c r="AG39">
        <v>35533</v>
      </c>
      <c r="AY39">
        <v>360</v>
      </c>
      <c r="BB39">
        <v>169</v>
      </c>
      <c r="BI39">
        <v>720</v>
      </c>
      <c r="BJ39">
        <f t="shared" si="4"/>
        <v>1249</v>
      </c>
      <c r="BK39">
        <v>48</v>
      </c>
      <c r="BL39">
        <v>48</v>
      </c>
      <c r="BM39" t="s">
        <v>484</v>
      </c>
      <c r="BN39">
        <v>9</v>
      </c>
    </row>
    <row r="40" spans="1:66" x14ac:dyDescent="0.2">
      <c r="A40" t="s">
        <v>101</v>
      </c>
      <c r="B40" s="10">
        <v>87</v>
      </c>
      <c r="C40" s="3">
        <f t="shared" si="0"/>
        <v>87</v>
      </c>
      <c r="D40" t="s">
        <v>5</v>
      </c>
      <c r="E40">
        <v>4</v>
      </c>
      <c r="F40" t="s">
        <v>102</v>
      </c>
      <c r="G40" t="s">
        <v>7</v>
      </c>
      <c r="H40" t="s">
        <v>103</v>
      </c>
      <c r="I40" s="5">
        <v>1874</v>
      </c>
      <c r="J40" s="3">
        <v>1876</v>
      </c>
      <c r="K40">
        <v>1875</v>
      </c>
      <c r="L40">
        <v>16</v>
      </c>
      <c r="M40" t="s">
        <v>610</v>
      </c>
      <c r="N40">
        <v>63</v>
      </c>
      <c r="O40">
        <v>9</v>
      </c>
      <c r="P40">
        <v>113</v>
      </c>
      <c r="Q40">
        <v>0</v>
      </c>
      <c r="R40">
        <v>82</v>
      </c>
      <c r="S40">
        <v>4</v>
      </c>
      <c r="T40">
        <v>85</v>
      </c>
      <c r="U40">
        <v>5</v>
      </c>
      <c r="V40">
        <v>79</v>
      </c>
      <c r="W40">
        <v>75</v>
      </c>
      <c r="X40">
        <v>76</v>
      </c>
      <c r="Y40">
        <v>80</v>
      </c>
      <c r="Z40">
        <v>77</v>
      </c>
      <c r="AA40">
        <v>64</v>
      </c>
      <c r="AB40">
        <v>87</v>
      </c>
      <c r="AC40" t="s">
        <v>9</v>
      </c>
      <c r="AD40">
        <v>15360</v>
      </c>
      <c r="AE40">
        <f t="shared" si="3"/>
        <v>15360</v>
      </c>
      <c r="AF40">
        <v>15360</v>
      </c>
      <c r="BJ40">
        <f t="shared" si="4"/>
        <v>0</v>
      </c>
      <c r="BK40">
        <v>24</v>
      </c>
      <c r="BL40">
        <v>24</v>
      </c>
      <c r="BM40" t="s">
        <v>135</v>
      </c>
      <c r="BN40">
        <v>9</v>
      </c>
    </row>
    <row r="41" spans="1:66" x14ac:dyDescent="0.2">
      <c r="A41" t="s">
        <v>104</v>
      </c>
      <c r="B41" s="10">
        <v>88</v>
      </c>
      <c r="C41" s="3">
        <f t="shared" si="0"/>
        <v>88</v>
      </c>
      <c r="D41" t="s">
        <v>5</v>
      </c>
      <c r="E41">
        <v>4</v>
      </c>
      <c r="F41" t="s">
        <v>105</v>
      </c>
      <c r="G41" t="s">
        <v>7</v>
      </c>
      <c r="H41" t="s">
        <v>106</v>
      </c>
      <c r="I41" s="5">
        <v>1874</v>
      </c>
      <c r="J41" s="3">
        <v>1876</v>
      </c>
      <c r="K41">
        <v>1875</v>
      </c>
      <c r="L41">
        <v>33</v>
      </c>
      <c r="M41" t="s">
        <v>610</v>
      </c>
      <c r="N41">
        <v>-99</v>
      </c>
      <c r="O41">
        <v>-99</v>
      </c>
      <c r="P41">
        <v>240</v>
      </c>
      <c r="Q41">
        <v>20</v>
      </c>
      <c r="R41">
        <v>383</v>
      </c>
      <c r="S41">
        <v>242</v>
      </c>
      <c r="T41">
        <v>294</v>
      </c>
      <c r="U41">
        <v>169</v>
      </c>
      <c r="V41">
        <v>120</v>
      </c>
      <c r="W41">
        <v>108</v>
      </c>
      <c r="X41" s="3">
        <v>108</v>
      </c>
      <c r="Y41" s="3">
        <v>111</v>
      </c>
      <c r="Z41" s="3">
        <v>113</v>
      </c>
      <c r="AA41" s="3">
        <v>131</v>
      </c>
      <c r="AB41" s="3">
        <v>204</v>
      </c>
      <c r="AC41" t="s">
        <v>9</v>
      </c>
      <c r="AD41">
        <v>24960</v>
      </c>
      <c r="AE41">
        <f t="shared" si="3"/>
        <v>27200</v>
      </c>
      <c r="AF41">
        <v>27200</v>
      </c>
      <c r="AG41">
        <v>19125</v>
      </c>
      <c r="BB41">
        <v>8075</v>
      </c>
      <c r="BJ41">
        <f t="shared" si="4"/>
        <v>8075</v>
      </c>
      <c r="BL41">
        <v>42.5</v>
      </c>
      <c r="BM41" t="s">
        <v>142</v>
      </c>
      <c r="BN41">
        <v>9</v>
      </c>
    </row>
    <row r="42" spans="1:66" x14ac:dyDescent="0.2">
      <c r="A42" t="s">
        <v>107</v>
      </c>
      <c r="B42" s="10">
        <v>89</v>
      </c>
      <c r="C42" s="3">
        <f t="shared" si="0"/>
        <v>89</v>
      </c>
      <c r="D42" t="s">
        <v>5</v>
      </c>
      <c r="E42">
        <v>4</v>
      </c>
      <c r="F42" t="s">
        <v>108</v>
      </c>
      <c r="G42" t="s">
        <v>7</v>
      </c>
      <c r="H42" t="s">
        <v>109</v>
      </c>
      <c r="I42" s="5">
        <v>1876</v>
      </c>
      <c r="J42" s="3">
        <v>1881</v>
      </c>
      <c r="K42">
        <v>1879</v>
      </c>
      <c r="L42">
        <v>311</v>
      </c>
      <c r="M42" t="s">
        <v>609</v>
      </c>
      <c r="N42">
        <v>-99</v>
      </c>
      <c r="O42">
        <v>-99</v>
      </c>
      <c r="P42">
        <v>311</v>
      </c>
      <c r="Q42">
        <v>0</v>
      </c>
      <c r="R42">
        <v>330</v>
      </c>
      <c r="S42">
        <v>57</v>
      </c>
      <c r="T42">
        <v>356</v>
      </c>
      <c r="U42">
        <v>11</v>
      </c>
      <c r="V42">
        <v>357</v>
      </c>
      <c r="W42">
        <v>375</v>
      </c>
      <c r="X42" s="3">
        <v>318</v>
      </c>
      <c r="Y42" s="3">
        <v>112</v>
      </c>
      <c r="Z42" s="3">
        <v>114</v>
      </c>
      <c r="AA42">
        <f>48+50+18</f>
        <v>116</v>
      </c>
      <c r="AB42">
        <f>50+50+50+7</f>
        <v>157</v>
      </c>
      <c r="AC42" t="s">
        <v>110</v>
      </c>
      <c r="AE42">
        <f t="shared" si="3"/>
        <v>22080</v>
      </c>
      <c r="AF42">
        <v>8904.7000000000007</v>
      </c>
      <c r="AG42">
        <v>9012</v>
      </c>
      <c r="AQ42">
        <v>67.31</v>
      </c>
      <c r="AT42">
        <v>13025.2</v>
      </c>
      <c r="BJ42">
        <f t="shared" si="4"/>
        <v>13092.51</v>
      </c>
      <c r="BL42">
        <v>34.5</v>
      </c>
      <c r="BM42" t="s">
        <v>179</v>
      </c>
      <c r="BN42">
        <v>9</v>
      </c>
    </row>
    <row r="43" spans="1:66" x14ac:dyDescent="0.2">
      <c r="A43" t="s">
        <v>111</v>
      </c>
      <c r="B43" s="10">
        <v>90</v>
      </c>
      <c r="C43" s="3">
        <f t="shared" si="0"/>
        <v>90</v>
      </c>
      <c r="D43" t="s">
        <v>5</v>
      </c>
      <c r="E43">
        <v>4</v>
      </c>
      <c r="F43" t="s">
        <v>112</v>
      </c>
      <c r="G43" t="s">
        <v>7</v>
      </c>
      <c r="H43" t="s">
        <v>113</v>
      </c>
      <c r="I43" s="5">
        <v>1876</v>
      </c>
      <c r="J43" s="3">
        <v>1881</v>
      </c>
      <c r="K43">
        <v>1879</v>
      </c>
      <c r="L43">
        <v>257</v>
      </c>
      <c r="M43" t="s">
        <v>609</v>
      </c>
      <c r="N43">
        <v>257</v>
      </c>
      <c r="O43">
        <v>7</v>
      </c>
      <c r="P43">
        <v>-99</v>
      </c>
      <c r="Q43">
        <v>-99</v>
      </c>
      <c r="R43">
        <v>-99</v>
      </c>
      <c r="S43">
        <v>-99</v>
      </c>
      <c r="T43">
        <v>356</v>
      </c>
      <c r="U43">
        <v>11</v>
      </c>
      <c r="V43">
        <v>357</v>
      </c>
      <c r="W43">
        <v>375</v>
      </c>
      <c r="X43" s="3">
        <v>318</v>
      </c>
      <c r="Y43" s="3">
        <v>220</v>
      </c>
      <c r="Z43" s="3">
        <v>227</v>
      </c>
      <c r="AA43">
        <f>50+50+50+50+49</f>
        <v>249</v>
      </c>
      <c r="AB43">
        <f>50+50+50+50+50+19</f>
        <v>269</v>
      </c>
      <c r="AC43" t="s">
        <v>110</v>
      </c>
      <c r="AE43">
        <f t="shared" si="3"/>
        <v>10348.800000000001</v>
      </c>
      <c r="AF43">
        <v>14400</v>
      </c>
      <c r="AG43">
        <v>14477</v>
      </c>
      <c r="BJ43">
        <f t="shared" si="4"/>
        <v>0</v>
      </c>
      <c r="BL43">
        <v>16.170000000000002</v>
      </c>
      <c r="BM43" t="s">
        <v>178</v>
      </c>
      <c r="BN43">
        <v>9</v>
      </c>
    </row>
    <row r="44" spans="1:66" x14ac:dyDescent="0.2">
      <c r="A44" t="s">
        <v>376</v>
      </c>
      <c r="B44" s="10">
        <v>91</v>
      </c>
      <c r="C44" s="3">
        <f t="shared" si="0"/>
        <v>91</v>
      </c>
      <c r="D44" t="s">
        <v>374</v>
      </c>
      <c r="E44">
        <v>6</v>
      </c>
      <c r="F44" t="s">
        <v>175</v>
      </c>
      <c r="G44" t="s">
        <v>7</v>
      </c>
      <c r="H44" t="s">
        <v>176</v>
      </c>
      <c r="I44" s="5">
        <v>1876</v>
      </c>
      <c r="J44" s="3">
        <v>1900</v>
      </c>
      <c r="K44">
        <v>-99</v>
      </c>
      <c r="L44">
        <v>-99</v>
      </c>
      <c r="M44" t="s">
        <v>609</v>
      </c>
      <c r="N44">
        <v>-99</v>
      </c>
      <c r="O44">
        <v>-99</v>
      </c>
      <c r="P44">
        <v>-99</v>
      </c>
      <c r="Q44">
        <v>-99</v>
      </c>
      <c r="R44">
        <v>-99</v>
      </c>
      <c r="S44">
        <v>-99</v>
      </c>
      <c r="T44">
        <v>-99</v>
      </c>
      <c r="U44">
        <v>-99</v>
      </c>
      <c r="V44">
        <v>-99</v>
      </c>
      <c r="W44">
        <v>-99</v>
      </c>
      <c r="X44" s="3">
        <v>76</v>
      </c>
      <c r="Y44" s="3">
        <v>81</v>
      </c>
      <c r="Z44" s="3">
        <v>75</v>
      </c>
      <c r="AA44">
        <f>50+34</f>
        <v>84</v>
      </c>
      <c r="AB44">
        <f>48+50</f>
        <v>98</v>
      </c>
      <c r="AC44" t="s">
        <v>110</v>
      </c>
      <c r="AE44">
        <f t="shared" si="3"/>
        <v>9638.4</v>
      </c>
      <c r="AF44">
        <v>8358.4</v>
      </c>
      <c r="AG44">
        <v>8804</v>
      </c>
      <c r="BJ44">
        <f t="shared" si="4"/>
        <v>0</v>
      </c>
      <c r="BL44">
        <v>15.06</v>
      </c>
      <c r="BM44" t="s">
        <v>177</v>
      </c>
      <c r="BN44">
        <v>7</v>
      </c>
    </row>
    <row r="45" spans="1:66" x14ac:dyDescent="0.2">
      <c r="A45" t="s">
        <v>377</v>
      </c>
      <c r="B45" s="10" t="s">
        <v>305</v>
      </c>
      <c r="C45" s="3">
        <f t="shared" si="0"/>
        <v>91.1</v>
      </c>
      <c r="D45" t="s">
        <v>374</v>
      </c>
      <c r="E45">
        <v>6</v>
      </c>
      <c r="F45" t="s">
        <v>306</v>
      </c>
      <c r="G45" t="s">
        <v>7</v>
      </c>
      <c r="H45" t="s">
        <v>176</v>
      </c>
      <c r="I45" s="5">
        <v>1876</v>
      </c>
      <c r="J45" s="3">
        <v>1912</v>
      </c>
      <c r="K45">
        <v>-99</v>
      </c>
      <c r="L45">
        <v>-99</v>
      </c>
      <c r="M45" t="s">
        <v>609</v>
      </c>
      <c r="N45">
        <v>-99</v>
      </c>
      <c r="O45">
        <v>-99</v>
      </c>
      <c r="P45">
        <v>-99</v>
      </c>
      <c r="Q45">
        <v>-99</v>
      </c>
      <c r="R45">
        <v>-99</v>
      </c>
      <c r="S45">
        <v>-99</v>
      </c>
      <c r="T45">
        <v>-99</v>
      </c>
      <c r="U45">
        <v>-99</v>
      </c>
      <c r="V45">
        <v>-99</v>
      </c>
      <c r="W45">
        <v>-99</v>
      </c>
      <c r="X45" s="3">
        <v>-99</v>
      </c>
      <c r="Y45" s="3">
        <v>-99</v>
      </c>
      <c r="Z45" s="3">
        <v>-99</v>
      </c>
      <c r="AA45" s="3">
        <v>-99</v>
      </c>
      <c r="AB45" s="3">
        <v>-99</v>
      </c>
      <c r="AC45" t="s">
        <v>110</v>
      </c>
      <c r="AE45">
        <f t="shared" si="3"/>
        <v>0</v>
      </c>
      <c r="AF45">
        <v>1130.5</v>
      </c>
      <c r="AG45">
        <v>1130</v>
      </c>
      <c r="BJ45">
        <f t="shared" si="4"/>
        <v>0</v>
      </c>
      <c r="BL45">
        <v>0</v>
      </c>
      <c r="BM45" t="s">
        <v>469</v>
      </c>
      <c r="BN45">
        <v>7</v>
      </c>
    </row>
    <row r="46" spans="1:66" x14ac:dyDescent="0.2">
      <c r="A46" t="s">
        <v>378</v>
      </c>
      <c r="B46" s="10">
        <v>94</v>
      </c>
      <c r="C46" s="3">
        <f t="shared" si="0"/>
        <v>94</v>
      </c>
      <c r="D46" t="s">
        <v>374</v>
      </c>
      <c r="E46">
        <v>6</v>
      </c>
      <c r="F46" t="s">
        <v>307</v>
      </c>
      <c r="G46" t="s">
        <v>7</v>
      </c>
      <c r="H46" t="s">
        <v>180</v>
      </c>
      <c r="I46" s="5">
        <v>-99</v>
      </c>
      <c r="J46" s="3">
        <v>1881</v>
      </c>
      <c r="K46">
        <v>1878</v>
      </c>
      <c r="L46">
        <v>250</v>
      </c>
      <c r="M46" t="s">
        <v>609</v>
      </c>
      <c r="N46">
        <v>250</v>
      </c>
      <c r="O46">
        <v>0</v>
      </c>
      <c r="P46">
        <v>200</v>
      </c>
      <c r="Q46">
        <v>100</v>
      </c>
      <c r="R46">
        <v>105</v>
      </c>
      <c r="S46">
        <v>0</v>
      </c>
      <c r="T46">
        <v>103</v>
      </c>
      <c r="U46">
        <v>0</v>
      </c>
      <c r="V46">
        <v>-99</v>
      </c>
      <c r="W46">
        <v>-99</v>
      </c>
      <c r="X46" s="3">
        <v>-99</v>
      </c>
      <c r="Y46" s="3">
        <v>50</v>
      </c>
      <c r="Z46" s="3">
        <v>62</v>
      </c>
      <c r="AA46">
        <f>50+13</f>
        <v>63</v>
      </c>
      <c r="AB46">
        <f>48+26</f>
        <v>74</v>
      </c>
      <c r="AC46" t="s">
        <v>73</v>
      </c>
      <c r="AE46">
        <f t="shared" si="3"/>
        <v>3712</v>
      </c>
      <c r="AF46">
        <v>3712</v>
      </c>
      <c r="AG46">
        <v>4130</v>
      </c>
      <c r="BJ46">
        <f t="shared" si="4"/>
        <v>0</v>
      </c>
      <c r="BK46">
        <v>2.2999999999999998</v>
      </c>
      <c r="BL46">
        <v>5.8</v>
      </c>
      <c r="BM46" t="s">
        <v>309</v>
      </c>
      <c r="BN46">
        <v>8</v>
      </c>
    </row>
    <row r="47" spans="1:66" x14ac:dyDescent="0.2">
      <c r="A47" t="s">
        <v>379</v>
      </c>
      <c r="B47" s="10" t="s">
        <v>182</v>
      </c>
      <c r="C47" s="3">
        <f t="shared" si="0"/>
        <v>94.1</v>
      </c>
      <c r="D47" t="s">
        <v>374</v>
      </c>
      <c r="E47">
        <v>6</v>
      </c>
      <c r="F47" t="s">
        <v>181</v>
      </c>
      <c r="G47" t="s">
        <v>7</v>
      </c>
      <c r="H47" t="s">
        <v>183</v>
      </c>
      <c r="I47" s="5">
        <v>-99</v>
      </c>
      <c r="J47" s="3">
        <v>1895</v>
      </c>
      <c r="K47">
        <v>1894</v>
      </c>
      <c r="L47">
        <v>42</v>
      </c>
      <c r="M47" t="s">
        <v>609</v>
      </c>
      <c r="N47">
        <v>-99</v>
      </c>
      <c r="O47">
        <v>-99</v>
      </c>
      <c r="P47">
        <v>-99</v>
      </c>
      <c r="Q47">
        <v>-99</v>
      </c>
      <c r="R47">
        <v>-99</v>
      </c>
      <c r="S47">
        <v>-99</v>
      </c>
      <c r="T47">
        <v>-99</v>
      </c>
      <c r="U47">
        <v>-99</v>
      </c>
      <c r="V47">
        <v>45</v>
      </c>
      <c r="W47">
        <v>103</v>
      </c>
      <c r="X47" s="3">
        <v>103</v>
      </c>
      <c r="Y47" s="3">
        <v>82</v>
      </c>
      <c r="Z47" s="3">
        <v>67</v>
      </c>
      <c r="AA47" s="3">
        <v>35</v>
      </c>
      <c r="AB47" s="3">
        <v>42</v>
      </c>
      <c r="AC47" t="s">
        <v>73</v>
      </c>
      <c r="AE47">
        <f t="shared" si="3"/>
        <v>2400</v>
      </c>
      <c r="AF47">
        <v>2330</v>
      </c>
      <c r="AG47">
        <v>3662</v>
      </c>
      <c r="BJ47">
        <f t="shared" si="4"/>
        <v>0</v>
      </c>
      <c r="BK47">
        <v>3.75</v>
      </c>
      <c r="BL47">
        <v>3.75</v>
      </c>
      <c r="BM47" t="s">
        <v>442</v>
      </c>
      <c r="BN47">
        <v>7</v>
      </c>
    </row>
    <row r="48" spans="1:66" x14ac:dyDescent="0.2">
      <c r="A48" t="s">
        <v>380</v>
      </c>
      <c r="B48" s="10">
        <v>95</v>
      </c>
      <c r="C48" s="3">
        <f t="shared" si="0"/>
        <v>95</v>
      </c>
      <c r="D48" t="s">
        <v>374</v>
      </c>
      <c r="E48">
        <v>6</v>
      </c>
      <c r="F48" t="s">
        <v>184</v>
      </c>
      <c r="G48" t="s">
        <v>7</v>
      </c>
      <c r="H48" t="s">
        <v>185</v>
      </c>
      <c r="I48" s="5">
        <v>1876</v>
      </c>
      <c r="J48" s="3">
        <v>1881</v>
      </c>
      <c r="K48">
        <v>1880</v>
      </c>
      <c r="L48">
        <v>93</v>
      </c>
      <c r="M48" t="s">
        <v>609</v>
      </c>
      <c r="N48">
        <v>93</v>
      </c>
      <c r="O48">
        <v>43</v>
      </c>
      <c r="P48">
        <v>92</v>
      </c>
      <c r="Q48">
        <v>0</v>
      </c>
      <c r="R48">
        <v>103</v>
      </c>
      <c r="S48">
        <v>15</v>
      </c>
      <c r="T48">
        <v>109</v>
      </c>
      <c r="U48">
        <v>1</v>
      </c>
      <c r="V48">
        <v>94</v>
      </c>
      <c r="W48">
        <v>92</v>
      </c>
      <c r="X48" s="3">
        <v>104</v>
      </c>
      <c r="Y48" s="3">
        <v>101</v>
      </c>
      <c r="Z48" s="3">
        <v>96</v>
      </c>
      <c r="AA48">
        <f>50+44</f>
        <v>94</v>
      </c>
      <c r="AB48">
        <f>48+50+2</f>
        <v>100</v>
      </c>
      <c r="AC48" t="s">
        <v>9</v>
      </c>
      <c r="AE48">
        <f t="shared" si="3"/>
        <v>10240</v>
      </c>
      <c r="AF48">
        <v>10209.700000000001</v>
      </c>
      <c r="AG48">
        <v>10210</v>
      </c>
      <c r="AN48">
        <v>30.3</v>
      </c>
      <c r="BJ48">
        <f t="shared" si="4"/>
        <v>30.3</v>
      </c>
      <c r="BL48">
        <v>16</v>
      </c>
      <c r="BM48" t="s">
        <v>310</v>
      </c>
      <c r="BN48">
        <v>6</v>
      </c>
    </row>
    <row r="49" spans="1:66" x14ac:dyDescent="0.2">
      <c r="A49" t="s">
        <v>381</v>
      </c>
      <c r="B49" s="10" t="s">
        <v>187</v>
      </c>
      <c r="C49" s="3" cm="1">
        <f t="array" ref="C49">MIN(
  _xlfn.LET(
    _xlpm.parts, _xlfn.TEXTSPLIT(SUBSTITUTE(SUBSTITUTE(B49, "&amp;", "/"), " ", ""), "/"),
    _xlpm.nums, IFERROR(
      VALUE(_xlpm.parts),
      VALUE(LEFT(_xlpm.parts, LEN(_xlpm.parts)-1)) + (CODE(RIGHT(_xlpm.parts,1))-64)/10
    ),
    _xlpm.nums
  )
)</f>
        <v>96</v>
      </c>
      <c r="D49" t="s">
        <v>374</v>
      </c>
      <c r="E49">
        <v>6</v>
      </c>
      <c r="F49" t="s">
        <v>188</v>
      </c>
      <c r="G49" t="s">
        <v>7</v>
      </c>
      <c r="H49" t="s">
        <v>186</v>
      </c>
      <c r="I49" s="5">
        <v>1876</v>
      </c>
      <c r="J49" s="3">
        <v>1887</v>
      </c>
      <c r="K49">
        <v>1876</v>
      </c>
      <c r="L49">
        <v>77</v>
      </c>
      <c r="M49" t="s">
        <v>609</v>
      </c>
      <c r="N49">
        <v>77</v>
      </c>
      <c r="O49">
        <v>0</v>
      </c>
      <c r="P49">
        <v>140</v>
      </c>
      <c r="Q49">
        <v>40</v>
      </c>
      <c r="R49">
        <v>121</v>
      </c>
      <c r="S49">
        <v>14</v>
      </c>
      <c r="T49">
        <v>134</v>
      </c>
      <c r="U49">
        <v>0</v>
      </c>
      <c r="V49">
        <v>127</v>
      </c>
      <c r="W49">
        <v>137</v>
      </c>
      <c r="X49" s="3">
        <v>175</v>
      </c>
      <c r="Y49" s="3">
        <v>154</v>
      </c>
      <c r="Z49" s="3">
        <v>158</v>
      </c>
      <c r="AA49">
        <f>50+50+27</f>
        <v>127</v>
      </c>
      <c r="AB49">
        <f>36+50+50+40</f>
        <v>176</v>
      </c>
      <c r="AC49" t="s">
        <v>9</v>
      </c>
      <c r="AE49">
        <f t="shared" si="3"/>
        <v>28160</v>
      </c>
      <c r="AF49">
        <v>28160</v>
      </c>
      <c r="AG49">
        <v>28057</v>
      </c>
      <c r="BJ49">
        <f t="shared" si="4"/>
        <v>0</v>
      </c>
      <c r="BL49">
        <v>44</v>
      </c>
      <c r="BM49" t="s">
        <v>311</v>
      </c>
      <c r="BN49">
        <v>9</v>
      </c>
    </row>
    <row r="50" spans="1:66" x14ac:dyDescent="0.2">
      <c r="A50" t="s">
        <v>382</v>
      </c>
      <c r="B50" s="10">
        <v>98</v>
      </c>
      <c r="C50" s="3">
        <f t="shared" ref="C50:C60" si="5">IF(ISNUMBER(B50), B50, VALUE(LEFT(B50, LEN(B50)-1)) + (CODE(RIGHT(B50,1))-64)/10)</f>
        <v>98</v>
      </c>
      <c r="D50" t="s">
        <v>374</v>
      </c>
      <c r="E50">
        <v>6</v>
      </c>
      <c r="F50" t="s">
        <v>189</v>
      </c>
      <c r="G50" t="s">
        <v>7</v>
      </c>
      <c r="H50" t="s">
        <v>190</v>
      </c>
      <c r="I50" s="5">
        <v>1876</v>
      </c>
      <c r="J50" s="3">
        <v>1878</v>
      </c>
      <c r="K50">
        <v>1876</v>
      </c>
      <c r="L50">
        <v>110</v>
      </c>
      <c r="M50" t="s">
        <v>609</v>
      </c>
      <c r="N50">
        <v>92</v>
      </c>
      <c r="O50">
        <v>42</v>
      </c>
      <c r="P50">
        <v>52</v>
      </c>
      <c r="Q50">
        <v>12</v>
      </c>
      <c r="R50">
        <v>19</v>
      </c>
      <c r="S50">
        <v>0</v>
      </c>
      <c r="T50">
        <v>-99</v>
      </c>
      <c r="U50">
        <v>-99</v>
      </c>
      <c r="V50">
        <v>-99</v>
      </c>
      <c r="W50">
        <v>-99</v>
      </c>
      <c r="X50" s="3">
        <v>-99</v>
      </c>
      <c r="Y50" s="3">
        <v>-99</v>
      </c>
      <c r="Z50" s="3">
        <v>-99</v>
      </c>
      <c r="AA50" s="3">
        <v>-99</v>
      </c>
      <c r="AB50" s="3">
        <v>-99</v>
      </c>
      <c r="AC50" t="s">
        <v>9</v>
      </c>
      <c r="AD50">
        <v>15320.53</v>
      </c>
      <c r="AE50">
        <v>-99</v>
      </c>
      <c r="AF50">
        <v>15360</v>
      </c>
      <c r="AG50">
        <v>-99</v>
      </c>
      <c r="AM50">
        <v>15360</v>
      </c>
      <c r="BJ50">
        <f t="shared" si="4"/>
        <v>15360</v>
      </c>
      <c r="BL50">
        <v>0</v>
      </c>
      <c r="BM50" t="s">
        <v>560</v>
      </c>
      <c r="BN50">
        <v>9</v>
      </c>
    </row>
    <row r="51" spans="1:66" x14ac:dyDescent="0.2">
      <c r="A51" t="s">
        <v>383</v>
      </c>
      <c r="B51" s="10">
        <v>99</v>
      </c>
      <c r="C51" s="3">
        <f t="shared" si="5"/>
        <v>99</v>
      </c>
      <c r="D51" t="s">
        <v>374</v>
      </c>
      <c r="E51">
        <v>6</v>
      </c>
      <c r="F51" t="s">
        <v>191</v>
      </c>
      <c r="G51" t="s">
        <v>7</v>
      </c>
      <c r="H51" t="s">
        <v>192</v>
      </c>
      <c r="I51" s="5">
        <v>1876</v>
      </c>
      <c r="J51" s="3">
        <v>1878</v>
      </c>
      <c r="K51">
        <v>1876</v>
      </c>
      <c r="L51">
        <v>182</v>
      </c>
      <c r="M51" t="s">
        <v>609</v>
      </c>
      <c r="N51">
        <v>182</v>
      </c>
      <c r="O51">
        <v>57</v>
      </c>
      <c r="P51">
        <v>186</v>
      </c>
      <c r="Q51">
        <v>0</v>
      </c>
      <c r="R51">
        <v>134</v>
      </c>
      <c r="S51">
        <v>18</v>
      </c>
      <c r="T51">
        <v>156</v>
      </c>
      <c r="U51">
        <v>14</v>
      </c>
      <c r="V51">
        <v>130</v>
      </c>
      <c r="W51">
        <v>131</v>
      </c>
      <c r="X51" s="3">
        <v>140</v>
      </c>
      <c r="Y51" s="3">
        <v>149</v>
      </c>
      <c r="Z51" s="3">
        <v>155</v>
      </c>
      <c r="AA51">
        <f>50+50+39</f>
        <v>139</v>
      </c>
      <c r="AB51">
        <f>47+50+50+42</f>
        <v>189</v>
      </c>
      <c r="AC51" t="s">
        <v>312</v>
      </c>
      <c r="AE51">
        <f t="shared" ref="AE51:AE58" si="6">PRODUCT(BL51,640)</f>
        <v>23936</v>
      </c>
      <c r="AF51">
        <v>23963</v>
      </c>
      <c r="AG51">
        <v>23936</v>
      </c>
      <c r="BJ51">
        <f t="shared" si="4"/>
        <v>0</v>
      </c>
      <c r="BL51">
        <v>37.4</v>
      </c>
      <c r="BM51" t="s">
        <v>313</v>
      </c>
      <c r="BN51">
        <v>8</v>
      </c>
    </row>
    <row r="52" spans="1:66" x14ac:dyDescent="0.2">
      <c r="A52" t="s">
        <v>384</v>
      </c>
      <c r="B52" s="10">
        <v>100</v>
      </c>
      <c r="C52" s="3">
        <f t="shared" si="5"/>
        <v>100</v>
      </c>
      <c r="D52" t="s">
        <v>374</v>
      </c>
      <c r="E52">
        <v>6</v>
      </c>
      <c r="F52" t="s">
        <v>193</v>
      </c>
      <c r="G52" t="s">
        <v>7</v>
      </c>
      <c r="H52" t="s">
        <v>601</v>
      </c>
      <c r="I52" s="5">
        <v>1876</v>
      </c>
      <c r="J52" s="3">
        <v>1878</v>
      </c>
      <c r="K52">
        <v>1875</v>
      </c>
      <c r="L52">
        <v>139</v>
      </c>
      <c r="M52" t="s">
        <v>609</v>
      </c>
      <c r="N52">
        <v>139</v>
      </c>
      <c r="O52">
        <v>39</v>
      </c>
      <c r="P52">
        <v>142</v>
      </c>
      <c r="Q52">
        <v>0</v>
      </c>
      <c r="R52">
        <v>148</v>
      </c>
      <c r="S52">
        <v>19</v>
      </c>
      <c r="T52">
        <v>135</v>
      </c>
      <c r="U52">
        <v>13</v>
      </c>
      <c r="V52">
        <v>103</v>
      </c>
      <c r="W52">
        <v>105</v>
      </c>
      <c r="X52" s="3">
        <v>228</v>
      </c>
      <c r="Y52" s="3">
        <v>246</v>
      </c>
      <c r="Z52" s="3">
        <v>237</v>
      </c>
      <c r="AA52">
        <f>50+50+50+50+29</f>
        <v>229</v>
      </c>
      <c r="AB52">
        <f>39+50+50+50+50+49</f>
        <v>288</v>
      </c>
      <c r="AC52" t="s">
        <v>9</v>
      </c>
      <c r="AE52">
        <f t="shared" si="6"/>
        <v>17792</v>
      </c>
      <c r="AF52">
        <v>17792</v>
      </c>
      <c r="AG52">
        <v>17792</v>
      </c>
      <c r="BJ52">
        <f t="shared" si="4"/>
        <v>0</v>
      </c>
      <c r="BL52">
        <v>27.8</v>
      </c>
      <c r="BM52" t="s">
        <v>314</v>
      </c>
      <c r="BN52">
        <v>6</v>
      </c>
    </row>
    <row r="53" spans="1:66" x14ac:dyDescent="0.2">
      <c r="A53" t="s">
        <v>385</v>
      </c>
      <c r="B53" s="10" t="s">
        <v>194</v>
      </c>
      <c r="C53" s="3">
        <f t="shared" si="5"/>
        <v>100.1</v>
      </c>
      <c r="D53" t="s">
        <v>374</v>
      </c>
      <c r="E53">
        <v>6</v>
      </c>
      <c r="F53" t="s">
        <v>195</v>
      </c>
      <c r="G53" t="s">
        <v>7</v>
      </c>
      <c r="H53" t="s">
        <v>601</v>
      </c>
      <c r="I53" s="5">
        <v>1875</v>
      </c>
      <c r="J53" s="3">
        <v>1887</v>
      </c>
      <c r="K53">
        <v>1882</v>
      </c>
      <c r="L53">
        <v>95</v>
      </c>
      <c r="M53" t="s">
        <v>609</v>
      </c>
      <c r="N53">
        <v>-99</v>
      </c>
      <c r="O53">
        <v>-99</v>
      </c>
      <c r="P53">
        <v>-99</v>
      </c>
      <c r="Q53">
        <v>-99</v>
      </c>
      <c r="R53">
        <v>-99</v>
      </c>
      <c r="S53">
        <v>-99</v>
      </c>
      <c r="T53">
        <v>57</v>
      </c>
      <c r="U53">
        <v>4</v>
      </c>
      <c r="V53">
        <v>127</v>
      </c>
      <c r="W53">
        <v>128</v>
      </c>
      <c r="X53" s="3">
        <v>-99</v>
      </c>
      <c r="Y53" s="3">
        <v>-99</v>
      </c>
      <c r="Z53" s="3">
        <v>-99</v>
      </c>
      <c r="AA53" s="3">
        <v>-99</v>
      </c>
      <c r="AB53" s="3">
        <v>-99</v>
      </c>
      <c r="AC53" t="s">
        <v>9</v>
      </c>
      <c r="AE53">
        <f t="shared" si="6"/>
        <v>41600</v>
      </c>
      <c r="AF53">
        <v>19520</v>
      </c>
      <c r="AG53">
        <v>19519</v>
      </c>
      <c r="AP53">
        <v>22080</v>
      </c>
      <c r="BJ53">
        <f t="shared" si="4"/>
        <v>22080</v>
      </c>
      <c r="BL53">
        <v>65</v>
      </c>
      <c r="BM53" t="s">
        <v>315</v>
      </c>
      <c r="BN53">
        <v>9</v>
      </c>
    </row>
    <row r="54" spans="1:66" x14ac:dyDescent="0.2">
      <c r="A54" t="s">
        <v>386</v>
      </c>
      <c r="B54" s="10">
        <v>101</v>
      </c>
      <c r="C54" s="3">
        <f t="shared" si="5"/>
        <v>101</v>
      </c>
      <c r="D54" t="s">
        <v>374</v>
      </c>
      <c r="E54">
        <v>6</v>
      </c>
      <c r="F54" t="s">
        <v>196</v>
      </c>
      <c r="G54" t="s">
        <v>7</v>
      </c>
      <c r="H54" t="s">
        <v>197</v>
      </c>
      <c r="I54" s="5">
        <v>1876</v>
      </c>
      <c r="J54" s="3">
        <v>1878</v>
      </c>
      <c r="K54">
        <v>1878</v>
      </c>
      <c r="L54">
        <v>139</v>
      </c>
      <c r="M54" t="s">
        <v>609</v>
      </c>
      <c r="N54">
        <v>139</v>
      </c>
      <c r="O54">
        <v>39</v>
      </c>
      <c r="P54">
        <v>148</v>
      </c>
      <c r="Q54">
        <v>0</v>
      </c>
      <c r="R54">
        <v>146</v>
      </c>
      <c r="S54">
        <v>0</v>
      </c>
      <c r="T54">
        <v>146</v>
      </c>
      <c r="U54">
        <v>3</v>
      </c>
      <c r="V54">
        <v>150</v>
      </c>
      <c r="W54">
        <v>149</v>
      </c>
      <c r="X54" s="3">
        <v>150</v>
      </c>
      <c r="Y54" s="3">
        <v>153</v>
      </c>
      <c r="Z54" s="3">
        <v>161</v>
      </c>
      <c r="AA54">
        <f>50+50+50+25</f>
        <v>175</v>
      </c>
      <c r="AB54">
        <f>50+50+45+31</f>
        <v>176</v>
      </c>
      <c r="AC54" t="s">
        <v>9</v>
      </c>
      <c r="AE54">
        <f t="shared" si="6"/>
        <v>22016</v>
      </c>
      <c r="AF54">
        <v>22016</v>
      </c>
      <c r="AG54">
        <v>21965</v>
      </c>
      <c r="BJ54">
        <f t="shared" si="4"/>
        <v>0</v>
      </c>
      <c r="BL54">
        <v>34.4</v>
      </c>
      <c r="BM54" t="s">
        <v>316</v>
      </c>
      <c r="BN54">
        <v>8</v>
      </c>
    </row>
    <row r="55" spans="1:66" x14ac:dyDescent="0.2">
      <c r="A55" t="s">
        <v>387</v>
      </c>
      <c r="B55" s="10">
        <v>102</v>
      </c>
      <c r="C55" s="3">
        <f t="shared" si="5"/>
        <v>102</v>
      </c>
      <c r="D55" t="s">
        <v>374</v>
      </c>
      <c r="E55">
        <v>6</v>
      </c>
      <c r="F55" t="s">
        <v>198</v>
      </c>
      <c r="G55" t="s">
        <v>7</v>
      </c>
      <c r="H55" t="s">
        <v>199</v>
      </c>
      <c r="I55" s="5">
        <v>1876</v>
      </c>
      <c r="J55" s="3">
        <v>1881</v>
      </c>
      <c r="K55">
        <v>1881</v>
      </c>
      <c r="L55">
        <v>196</v>
      </c>
      <c r="M55" t="s">
        <v>609</v>
      </c>
      <c r="N55">
        <v>196</v>
      </c>
      <c r="O55">
        <v>106</v>
      </c>
      <c r="P55">
        <v>129</v>
      </c>
      <c r="Q55">
        <v>0</v>
      </c>
      <c r="R55">
        <v>59</v>
      </c>
      <c r="S55">
        <v>0</v>
      </c>
      <c r="T55">
        <v>73</v>
      </c>
      <c r="U55">
        <v>0</v>
      </c>
      <c r="V55">
        <v>74</v>
      </c>
      <c r="W55">
        <v>82</v>
      </c>
      <c r="X55" s="3">
        <v>92</v>
      </c>
      <c r="Y55" s="3">
        <v>110</v>
      </c>
      <c r="Z55" s="3">
        <v>117</v>
      </c>
      <c r="AA55">
        <f>50+50+14</f>
        <v>114</v>
      </c>
      <c r="AB55">
        <f>50+50+50+10</f>
        <v>160</v>
      </c>
      <c r="AC55" t="s">
        <v>9</v>
      </c>
      <c r="AE55">
        <f t="shared" si="6"/>
        <v>26880</v>
      </c>
      <c r="AF55">
        <v>26880</v>
      </c>
      <c r="AG55">
        <v>18660</v>
      </c>
      <c r="BB55">
        <v>8960</v>
      </c>
      <c r="BJ55">
        <f t="shared" si="4"/>
        <v>8960</v>
      </c>
      <c r="BL55">
        <v>42</v>
      </c>
      <c r="BM55" t="s">
        <v>317</v>
      </c>
      <c r="BN55">
        <v>6</v>
      </c>
    </row>
    <row r="56" spans="1:66" x14ac:dyDescent="0.2">
      <c r="A56" t="s">
        <v>388</v>
      </c>
      <c r="B56" s="10">
        <v>103</v>
      </c>
      <c r="C56" s="3">
        <f t="shared" si="5"/>
        <v>103</v>
      </c>
      <c r="D56" t="s">
        <v>374</v>
      </c>
      <c r="E56">
        <v>6</v>
      </c>
      <c r="F56" t="s">
        <v>200</v>
      </c>
      <c r="G56" t="s">
        <v>7</v>
      </c>
      <c r="H56" t="s">
        <v>201</v>
      </c>
      <c r="I56" s="5">
        <v>1876</v>
      </c>
      <c r="J56" s="3">
        <v>1878</v>
      </c>
      <c r="K56">
        <v>1878</v>
      </c>
      <c r="L56">
        <v>53</v>
      </c>
      <c r="M56" t="s">
        <v>610</v>
      </c>
      <c r="N56">
        <v>225</v>
      </c>
      <c r="O56">
        <v>50</v>
      </c>
      <c r="P56">
        <v>190</v>
      </c>
      <c r="Q56">
        <v>0</v>
      </c>
      <c r="R56">
        <v>161</v>
      </c>
      <c r="S56">
        <v>0</v>
      </c>
      <c r="T56">
        <v>144</v>
      </c>
      <c r="U56">
        <v>2</v>
      </c>
      <c r="V56">
        <v>144</v>
      </c>
      <c r="W56">
        <v>126</v>
      </c>
      <c r="X56" s="3">
        <v>129</v>
      </c>
      <c r="Y56" s="3">
        <v>130</v>
      </c>
      <c r="Z56" s="3">
        <v>140</v>
      </c>
      <c r="AA56">
        <f>11+50+50+11</f>
        <v>122</v>
      </c>
      <c r="AB56">
        <f>50+50+50+43</f>
        <v>193</v>
      </c>
      <c r="AC56" t="s">
        <v>9</v>
      </c>
      <c r="AE56">
        <f t="shared" si="6"/>
        <v>49280</v>
      </c>
      <c r="AF56">
        <v>47673</v>
      </c>
      <c r="AG56">
        <v>30997</v>
      </c>
      <c r="AS56">
        <v>14.14</v>
      </c>
      <c r="AX56">
        <v>1607</v>
      </c>
      <c r="AZ56">
        <v>5028</v>
      </c>
      <c r="BB56">
        <v>11520</v>
      </c>
      <c r="BJ56">
        <f t="shared" si="4"/>
        <v>18169.14</v>
      </c>
      <c r="BL56">
        <v>77</v>
      </c>
      <c r="BM56" t="s">
        <v>318</v>
      </c>
      <c r="BN56">
        <v>8</v>
      </c>
    </row>
    <row r="57" spans="1:66" x14ac:dyDescent="0.2">
      <c r="A57" t="s">
        <v>389</v>
      </c>
      <c r="B57" s="10">
        <v>104</v>
      </c>
      <c r="C57" s="3">
        <f t="shared" si="5"/>
        <v>104</v>
      </c>
      <c r="D57" t="s">
        <v>374</v>
      </c>
      <c r="E57">
        <v>6</v>
      </c>
      <c r="F57" t="s">
        <v>202</v>
      </c>
      <c r="G57" t="s">
        <v>7</v>
      </c>
      <c r="H57" t="s">
        <v>203</v>
      </c>
      <c r="I57" s="5">
        <v>1876</v>
      </c>
      <c r="J57" s="3">
        <v>1878</v>
      </c>
      <c r="K57">
        <v>1877</v>
      </c>
      <c r="L57">
        <v>368</v>
      </c>
      <c r="M57" t="s">
        <v>609</v>
      </c>
      <c r="N57">
        <v>188</v>
      </c>
      <c r="O57">
        <v>8</v>
      </c>
      <c r="P57">
        <v>180</v>
      </c>
      <c r="Q57">
        <v>0</v>
      </c>
      <c r="R57">
        <v>166</v>
      </c>
      <c r="S57">
        <v>0</v>
      </c>
      <c r="T57">
        <v>218</v>
      </c>
      <c r="U57">
        <v>5</v>
      </c>
      <c r="V57">
        <v>224</v>
      </c>
      <c r="W57">
        <v>203</v>
      </c>
      <c r="X57" s="3">
        <v>209</v>
      </c>
      <c r="Y57" s="3">
        <v>238</v>
      </c>
      <c r="Z57" s="3">
        <v>232</v>
      </c>
      <c r="AA57">
        <f>50+50+50+50+37</f>
        <v>237</v>
      </c>
      <c r="AB57">
        <f>50+50+50+50+50+2</f>
        <v>252</v>
      </c>
      <c r="AC57" t="s">
        <v>9</v>
      </c>
      <c r="AE57">
        <f t="shared" si="6"/>
        <v>42988.800000000003</v>
      </c>
      <c r="AF57">
        <v>43008</v>
      </c>
      <c r="AG57">
        <v>42805</v>
      </c>
      <c r="BJ57">
        <f t="shared" si="4"/>
        <v>0</v>
      </c>
      <c r="BL57">
        <v>67.17</v>
      </c>
      <c r="BM57" t="s">
        <v>319</v>
      </c>
      <c r="BN57">
        <v>9</v>
      </c>
    </row>
    <row r="58" spans="1:66" x14ac:dyDescent="0.2">
      <c r="A58" t="s">
        <v>390</v>
      </c>
      <c r="B58" s="10">
        <v>105</v>
      </c>
      <c r="C58" s="3">
        <f t="shared" si="5"/>
        <v>105</v>
      </c>
      <c r="D58" t="s">
        <v>374</v>
      </c>
      <c r="E58">
        <v>6</v>
      </c>
      <c r="F58" t="s">
        <v>204</v>
      </c>
      <c r="G58" t="s">
        <v>7</v>
      </c>
      <c r="H58" t="s">
        <v>349</v>
      </c>
      <c r="I58" s="5">
        <v>1878</v>
      </c>
      <c r="J58" s="3">
        <v>1881</v>
      </c>
      <c r="K58">
        <v>1889</v>
      </c>
      <c r="L58">
        <v>71</v>
      </c>
      <c r="M58" t="s">
        <v>609</v>
      </c>
      <c r="N58">
        <v>63</v>
      </c>
      <c r="O58">
        <v>48</v>
      </c>
      <c r="P58">
        <v>58</v>
      </c>
      <c r="Q58">
        <v>0</v>
      </c>
      <c r="R58">
        <v>66</v>
      </c>
      <c r="S58">
        <v>0</v>
      </c>
      <c r="T58">
        <v>66</v>
      </c>
      <c r="U58">
        <v>3</v>
      </c>
      <c r="V58">
        <v>72</v>
      </c>
      <c r="W58">
        <v>72</v>
      </c>
      <c r="X58" s="3">
        <v>87</v>
      </c>
      <c r="Y58" s="3">
        <v>91</v>
      </c>
      <c r="Z58" s="3">
        <v>92</v>
      </c>
      <c r="AA58">
        <f>50+9</f>
        <v>59</v>
      </c>
      <c r="AB58">
        <f>50+50</f>
        <v>100</v>
      </c>
      <c r="AC58" t="s">
        <v>9</v>
      </c>
      <c r="AD58">
        <v>8960</v>
      </c>
      <c r="AE58">
        <f t="shared" si="6"/>
        <v>8960</v>
      </c>
      <c r="AF58">
        <v>8960</v>
      </c>
      <c r="AG58">
        <v>8745</v>
      </c>
      <c r="BH58">
        <v>200</v>
      </c>
      <c r="BJ58">
        <f t="shared" si="4"/>
        <v>200</v>
      </c>
      <c r="BL58">
        <v>14</v>
      </c>
      <c r="BM58" t="s">
        <v>569</v>
      </c>
      <c r="BN58">
        <v>7</v>
      </c>
    </row>
    <row r="59" spans="1:66" x14ac:dyDescent="0.2">
      <c r="A59" t="s">
        <v>456</v>
      </c>
      <c r="B59" s="10" t="s">
        <v>457</v>
      </c>
      <c r="C59" s="3">
        <f t="shared" si="5"/>
        <v>105.1</v>
      </c>
      <c r="D59" t="s">
        <v>374</v>
      </c>
      <c r="E59">
        <v>6</v>
      </c>
      <c r="F59" t="s">
        <v>458</v>
      </c>
      <c r="G59" t="s">
        <v>7</v>
      </c>
      <c r="H59" t="s">
        <v>349</v>
      </c>
      <c r="I59" s="5">
        <v>1878</v>
      </c>
      <c r="J59" s="3">
        <v>1913</v>
      </c>
      <c r="K59">
        <v>-99</v>
      </c>
      <c r="L59">
        <v>-99</v>
      </c>
      <c r="M59" t="s">
        <v>609</v>
      </c>
      <c r="N59">
        <v>-99</v>
      </c>
      <c r="O59">
        <v>-99</v>
      </c>
      <c r="P59">
        <v>-99</v>
      </c>
      <c r="Q59">
        <v>-99</v>
      </c>
      <c r="R59">
        <v>-99</v>
      </c>
      <c r="S59">
        <v>-99</v>
      </c>
      <c r="T59">
        <v>-99</v>
      </c>
      <c r="U59">
        <v>-99</v>
      </c>
      <c r="V59">
        <v>-99</v>
      </c>
      <c r="W59">
        <v>-99</v>
      </c>
      <c r="X59">
        <v>-99</v>
      </c>
      <c r="Y59">
        <v>-99</v>
      </c>
      <c r="Z59">
        <v>-99</v>
      </c>
      <c r="AA59">
        <v>-99</v>
      </c>
      <c r="AB59">
        <v>-99</v>
      </c>
      <c r="AC59" t="s">
        <v>9</v>
      </c>
      <c r="AE59">
        <v>-99</v>
      </c>
      <c r="AF59">
        <v>640</v>
      </c>
      <c r="AG59">
        <v>636</v>
      </c>
      <c r="BJ59">
        <f t="shared" si="4"/>
        <v>0</v>
      </c>
      <c r="BL59">
        <v>0</v>
      </c>
      <c r="BM59" t="s">
        <v>464</v>
      </c>
      <c r="BN59">
        <v>7</v>
      </c>
    </row>
    <row r="60" spans="1:66" x14ac:dyDescent="0.2">
      <c r="A60" t="s">
        <v>360</v>
      </c>
      <c r="B60" s="10">
        <v>106</v>
      </c>
      <c r="C60" s="3">
        <f t="shared" si="5"/>
        <v>106</v>
      </c>
      <c r="D60" t="s">
        <v>375</v>
      </c>
      <c r="E60">
        <v>6</v>
      </c>
      <c r="F60" t="s">
        <v>206</v>
      </c>
      <c r="G60" t="s">
        <v>7</v>
      </c>
      <c r="H60" t="s">
        <v>205</v>
      </c>
      <c r="I60" s="5">
        <v>1889</v>
      </c>
      <c r="J60" s="3">
        <v>1889</v>
      </c>
      <c r="K60">
        <v>1889</v>
      </c>
      <c r="L60">
        <v>98</v>
      </c>
      <c r="M60" t="s">
        <v>609</v>
      </c>
      <c r="N60">
        <v>-99</v>
      </c>
      <c r="O60">
        <v>-99</v>
      </c>
      <c r="P60">
        <v>-99</v>
      </c>
      <c r="Q60">
        <v>-99</v>
      </c>
      <c r="R60">
        <v>101</v>
      </c>
      <c r="S60">
        <v>0</v>
      </c>
      <c r="T60">
        <v>101</v>
      </c>
      <c r="U60">
        <v>1</v>
      </c>
      <c r="V60">
        <v>138</v>
      </c>
      <c r="W60">
        <v>165</v>
      </c>
      <c r="X60" s="3">
        <v>197</v>
      </c>
      <c r="Y60" s="3">
        <v>188</v>
      </c>
      <c r="Z60" s="3">
        <v>214</v>
      </c>
      <c r="AA60">
        <f>50+50+50+50</f>
        <v>200</v>
      </c>
      <c r="AB60">
        <f>50+50+50+50+50+46+31</f>
        <v>327</v>
      </c>
      <c r="AC60" t="s">
        <v>9</v>
      </c>
      <c r="AE60">
        <f t="shared" ref="AE60:AE67" si="7">PRODUCT(BL60,640)</f>
        <v>14720</v>
      </c>
      <c r="AF60">
        <v>14720</v>
      </c>
      <c r="AG60">
        <v>14675</v>
      </c>
      <c r="BJ60">
        <f t="shared" si="4"/>
        <v>0</v>
      </c>
      <c r="BL60">
        <v>23</v>
      </c>
      <c r="BM60" t="s">
        <v>321</v>
      </c>
      <c r="BN60">
        <v>7</v>
      </c>
    </row>
    <row r="61" spans="1:66" x14ac:dyDescent="0.2">
      <c r="A61" t="s">
        <v>564</v>
      </c>
      <c r="B61" s="10" t="s">
        <v>320</v>
      </c>
      <c r="C61" s="3" cm="1">
        <f t="array" ref="C61">MIN(
    _xlfn.LET(
        _xlpm.values, _xlfn.TEXTSPLIT(SUBSTITUTE(SUBSTITUTE(B61, "&amp;", "/"), " ", ""), "/"),
        _xlpm.nums, IF(
            ISNUMBER(_xlpm.values),
            VALUE(_xlpm.values),
            VALUE(LEFT(_xlpm.values, LEN(_xlpm.values)-1)) + (CODE(RIGHT(_xlpm.values, 1))-64)/10
        ),
        _xlpm.nums
    )
)</f>
        <v>106.1</v>
      </c>
      <c r="D61" t="s">
        <v>375</v>
      </c>
      <c r="E61">
        <v>6</v>
      </c>
      <c r="F61" t="s">
        <v>207</v>
      </c>
      <c r="G61" t="s">
        <v>7</v>
      </c>
      <c r="H61" t="s">
        <v>246</v>
      </c>
      <c r="I61" s="5">
        <v>1889</v>
      </c>
      <c r="J61" s="3">
        <v>1897</v>
      </c>
      <c r="K61">
        <v>1899</v>
      </c>
      <c r="L61">
        <v>66</v>
      </c>
      <c r="M61" t="s">
        <v>609</v>
      </c>
      <c r="N61">
        <v>-99</v>
      </c>
      <c r="O61">
        <v>-99</v>
      </c>
      <c r="P61">
        <v>-99</v>
      </c>
      <c r="Q61">
        <v>-99</v>
      </c>
      <c r="R61">
        <v>-99</v>
      </c>
      <c r="S61">
        <v>-99</v>
      </c>
      <c r="T61">
        <v>-99</v>
      </c>
      <c r="U61">
        <v>-99</v>
      </c>
      <c r="V61">
        <v>-99</v>
      </c>
      <c r="W61">
        <v>36</v>
      </c>
      <c r="X61" s="3">
        <v>39</v>
      </c>
      <c r="Y61" s="3">
        <v>74</v>
      </c>
      <c r="Z61" s="3">
        <v>117</v>
      </c>
      <c r="AA61" s="3">
        <v>49</v>
      </c>
      <c r="AB61" s="3">
        <v>-99</v>
      </c>
      <c r="AC61" t="s">
        <v>9</v>
      </c>
      <c r="AE61">
        <f t="shared" si="7"/>
        <v>36160</v>
      </c>
      <c r="AF61">
        <v>36160</v>
      </c>
      <c r="AG61">
        <v>31973</v>
      </c>
      <c r="BJ61">
        <f t="shared" si="4"/>
        <v>0</v>
      </c>
      <c r="BL61">
        <v>56.5</v>
      </c>
      <c r="BM61" t="s">
        <v>322</v>
      </c>
      <c r="BN61">
        <v>6</v>
      </c>
    </row>
    <row r="62" spans="1:66" x14ac:dyDescent="0.2">
      <c r="A62" t="s">
        <v>391</v>
      </c>
      <c r="B62" s="10">
        <v>107</v>
      </c>
      <c r="C62" s="3">
        <f>IF(ISNUMBER(B62), B62, VALUE(LEFT(B62, LEN(B62)-1)) + (CODE(RIGHT(B62,1))-64)/10)</f>
        <v>107</v>
      </c>
      <c r="D62" t="s">
        <v>374</v>
      </c>
      <c r="E62">
        <v>6</v>
      </c>
      <c r="F62" t="s">
        <v>208</v>
      </c>
      <c r="G62" t="s">
        <v>7</v>
      </c>
      <c r="H62" t="s">
        <v>209</v>
      </c>
      <c r="I62" s="5">
        <v>1876</v>
      </c>
      <c r="J62" s="3">
        <v>1879</v>
      </c>
      <c r="K62">
        <v>-99</v>
      </c>
      <c r="L62">
        <v>84</v>
      </c>
      <c r="M62" t="s">
        <v>609</v>
      </c>
      <c r="N62">
        <v>-99</v>
      </c>
      <c r="O62">
        <v>-99</v>
      </c>
      <c r="P62">
        <v>18</v>
      </c>
      <c r="Q62">
        <v>-99</v>
      </c>
      <c r="R62">
        <v>-99</v>
      </c>
      <c r="S62">
        <v>-99</v>
      </c>
      <c r="T62">
        <v>-99</v>
      </c>
      <c r="U62">
        <v>-99</v>
      </c>
      <c r="V62">
        <v>-99</v>
      </c>
      <c r="W62">
        <v>-99</v>
      </c>
      <c r="X62" s="3">
        <v>-99</v>
      </c>
      <c r="Y62" s="3">
        <v>-99</v>
      </c>
      <c r="Z62" s="3">
        <v>-99</v>
      </c>
      <c r="AA62" s="3">
        <v>-99</v>
      </c>
      <c r="AB62" s="3">
        <v>-99</v>
      </c>
      <c r="AC62" t="s">
        <v>9</v>
      </c>
      <c r="AE62">
        <f t="shared" si="7"/>
        <v>19200</v>
      </c>
      <c r="AF62">
        <v>-99</v>
      </c>
      <c r="AG62">
        <v>-99</v>
      </c>
      <c r="AI62">
        <v>19200</v>
      </c>
      <c r="BJ62">
        <f t="shared" si="4"/>
        <v>19200</v>
      </c>
      <c r="BL62">
        <v>30</v>
      </c>
      <c r="BM62" t="s">
        <v>328</v>
      </c>
      <c r="BN62">
        <v>7</v>
      </c>
    </row>
    <row r="63" spans="1:66" x14ac:dyDescent="0.2">
      <c r="A63" t="s">
        <v>455</v>
      </c>
      <c r="B63" s="10">
        <v>108</v>
      </c>
      <c r="C63" s="3">
        <f>IF(ISNUMBER(B63), B63, VALUE(LEFT(B63, LEN(B63)-1)) + (CODE(RIGHT(B63,1))-64)/10)</f>
        <v>108</v>
      </c>
      <c r="D63" t="s">
        <v>374</v>
      </c>
      <c r="E63">
        <v>6</v>
      </c>
      <c r="F63" t="s">
        <v>10</v>
      </c>
      <c r="G63" t="s">
        <v>7</v>
      </c>
      <c r="H63" t="s">
        <v>164</v>
      </c>
      <c r="I63">
        <v>1876</v>
      </c>
      <c r="J63" s="3">
        <v>1884</v>
      </c>
      <c r="K63">
        <v>1878</v>
      </c>
      <c r="L63">
        <v>160</v>
      </c>
      <c r="M63" t="s">
        <v>609</v>
      </c>
      <c r="N63">
        <v>136</v>
      </c>
      <c r="O63">
        <v>0</v>
      </c>
      <c r="P63">
        <v>142</v>
      </c>
      <c r="Q63">
        <v>0</v>
      </c>
      <c r="R63">
        <v>124</v>
      </c>
      <c r="S63">
        <v>8</v>
      </c>
      <c r="T63">
        <v>135</v>
      </c>
      <c r="U63">
        <v>7</v>
      </c>
      <c r="V63">
        <v>150</v>
      </c>
      <c r="W63">
        <v>152</v>
      </c>
      <c r="X63" s="3">
        <v>158</v>
      </c>
      <c r="Y63" s="3">
        <v>163</v>
      </c>
      <c r="Z63" s="3">
        <v>154</v>
      </c>
      <c r="AA63">
        <f>49+50+50+21</f>
        <v>170</v>
      </c>
      <c r="AB63">
        <f>50+50+50+46</f>
        <v>196</v>
      </c>
      <c r="AC63" t="s">
        <v>9</v>
      </c>
      <c r="AE63">
        <f t="shared" si="7"/>
        <v>24320</v>
      </c>
      <c r="AF63">
        <v>24320</v>
      </c>
      <c r="AG63">
        <v>24320</v>
      </c>
      <c r="BJ63">
        <f t="shared" si="4"/>
        <v>0</v>
      </c>
      <c r="BL63">
        <v>38</v>
      </c>
      <c r="BM63" t="s">
        <v>163</v>
      </c>
      <c r="BN63">
        <v>9</v>
      </c>
    </row>
    <row r="64" spans="1:66" x14ac:dyDescent="0.2">
      <c r="A64" t="s">
        <v>392</v>
      </c>
      <c r="B64" s="10">
        <v>109</v>
      </c>
      <c r="C64" s="3">
        <f>IF(ISNUMBER(B64), B64, VALUE(LEFT(B64, LEN(B64)-1)) + (CODE(RIGHT(B64,1))-64)/10)</f>
        <v>109</v>
      </c>
      <c r="D64" t="s">
        <v>374</v>
      </c>
      <c r="E64">
        <v>6</v>
      </c>
      <c r="F64" t="s">
        <v>210</v>
      </c>
      <c r="G64" t="s">
        <v>7</v>
      </c>
      <c r="H64" t="s">
        <v>211</v>
      </c>
      <c r="I64" s="5">
        <v>1878</v>
      </c>
      <c r="J64" s="3">
        <v>1879</v>
      </c>
      <c r="K64">
        <v>1880</v>
      </c>
      <c r="L64">
        <v>306</v>
      </c>
      <c r="M64" t="s">
        <v>609</v>
      </c>
      <c r="N64">
        <v>230</v>
      </c>
      <c r="O64">
        <v>0</v>
      </c>
      <c r="P64">
        <v>259</v>
      </c>
      <c r="Q64">
        <v>0</v>
      </c>
      <c r="R64">
        <v>228</v>
      </c>
      <c r="S64">
        <v>73</v>
      </c>
      <c r="T64">
        <v>132</v>
      </c>
      <c r="U64">
        <v>33</v>
      </c>
      <c r="V64">
        <v>87</v>
      </c>
      <c r="W64">
        <v>90</v>
      </c>
      <c r="X64" s="3">
        <v>47</v>
      </c>
      <c r="Y64" s="3">
        <v>59</v>
      </c>
      <c r="Z64" s="3">
        <v>63</v>
      </c>
      <c r="AA64">
        <f>50+41</f>
        <v>91</v>
      </c>
      <c r="AB64">
        <f>50+50+19</f>
        <v>119</v>
      </c>
      <c r="AC64" t="s">
        <v>212</v>
      </c>
      <c r="AE64">
        <f t="shared" si="7"/>
        <v>23040</v>
      </c>
      <c r="AF64">
        <v>22961.72</v>
      </c>
      <c r="AG64">
        <v>22962</v>
      </c>
      <c r="AW64">
        <v>78.28</v>
      </c>
      <c r="BJ64">
        <f>SUM(AI64:BI64)</f>
        <v>78.28</v>
      </c>
      <c r="BL64">
        <v>36</v>
      </c>
      <c r="BM64" t="s">
        <v>448</v>
      </c>
      <c r="BN64">
        <v>9</v>
      </c>
    </row>
    <row r="65" spans="1:66" x14ac:dyDescent="0.2">
      <c r="A65" t="s">
        <v>479</v>
      </c>
      <c r="B65" s="10" t="s">
        <v>478</v>
      </c>
      <c r="C65" s="3" cm="1">
        <f t="array" ref="C65">MIN(
  _xlfn.LET(
    _xlpm.parts, _xlfn.TEXTSPLIT(SUBSTITUTE(SUBSTITUTE(B65, "&amp;", "/"), " ", ""), "/"),
    _xlpm.nums, IFERROR(
      VALUE(_xlpm.parts),
      VALUE(LEFT(_xlpm.parts, LEN(_xlpm.parts)-1)) + (CODE(RIGHT(_xlpm.parts,1))-64)/10
    ),
    _xlpm.nums
  )
)</f>
        <v>110</v>
      </c>
      <c r="D65" t="s">
        <v>374</v>
      </c>
      <c r="E65">
        <v>6</v>
      </c>
      <c r="F65" t="s">
        <v>465</v>
      </c>
      <c r="G65" t="s">
        <v>7</v>
      </c>
      <c r="H65" t="s">
        <v>211</v>
      </c>
      <c r="I65" s="5">
        <v>1878</v>
      </c>
      <c r="J65" s="3">
        <v>1884</v>
      </c>
      <c r="K65">
        <v>1882</v>
      </c>
      <c r="L65">
        <v>194</v>
      </c>
      <c r="M65" t="s">
        <v>609</v>
      </c>
      <c r="N65">
        <v>-99</v>
      </c>
      <c r="O65">
        <v>-99</v>
      </c>
      <c r="P65">
        <v>-99</v>
      </c>
      <c r="Q65">
        <v>-99</v>
      </c>
      <c r="R65">
        <v>-99</v>
      </c>
      <c r="S65">
        <v>-99</v>
      </c>
      <c r="T65">
        <v>-99</v>
      </c>
      <c r="U65">
        <v>-99</v>
      </c>
      <c r="V65">
        <v>-99</v>
      </c>
      <c r="W65">
        <v>-99</v>
      </c>
      <c r="X65" s="3">
        <v>20</v>
      </c>
      <c r="Y65" s="3">
        <v>27</v>
      </c>
      <c r="Z65" s="3">
        <v>30</v>
      </c>
      <c r="AA65" s="3">
        <v>-99</v>
      </c>
      <c r="AB65" s="3">
        <v>-99</v>
      </c>
      <c r="AC65" t="s">
        <v>212</v>
      </c>
      <c r="AE65">
        <f t="shared" si="7"/>
        <v>23168</v>
      </c>
      <c r="AF65">
        <v>8599.7000000000007</v>
      </c>
      <c r="AG65">
        <v>8599</v>
      </c>
      <c r="AR65">
        <v>14532</v>
      </c>
      <c r="BJ65">
        <f t="shared" ref="BJ65:BJ96" si="8">SUM(AH65:BI65)</f>
        <v>14532</v>
      </c>
      <c r="BL65">
        <v>36.200000000000003</v>
      </c>
      <c r="BM65" t="s">
        <v>449</v>
      </c>
      <c r="BN65">
        <v>8</v>
      </c>
    </row>
    <row r="66" spans="1:66" x14ac:dyDescent="0.2">
      <c r="A66" t="s">
        <v>393</v>
      </c>
      <c r="B66" s="10">
        <v>112</v>
      </c>
      <c r="C66" s="3">
        <f t="shared" ref="C66:C97" si="9">IF(ISNUMBER(B66), B66, VALUE(LEFT(B66, LEN(B66)-1)) + (CODE(RIGHT(B66,1))-64)/10)</f>
        <v>112</v>
      </c>
      <c r="D66" t="s">
        <v>374</v>
      </c>
      <c r="E66">
        <v>6</v>
      </c>
      <c r="F66" t="s">
        <v>213</v>
      </c>
      <c r="G66" t="s">
        <v>7</v>
      </c>
      <c r="H66" t="s">
        <v>214</v>
      </c>
      <c r="I66" s="5" t="s">
        <v>325</v>
      </c>
      <c r="J66" s="3">
        <v>1881</v>
      </c>
      <c r="K66">
        <v>1880</v>
      </c>
      <c r="L66">
        <v>115</v>
      </c>
      <c r="M66" t="s">
        <v>609</v>
      </c>
      <c r="N66">
        <v>99</v>
      </c>
      <c r="O66">
        <v>29</v>
      </c>
      <c r="P66">
        <v>145</v>
      </c>
      <c r="Q66">
        <v>63</v>
      </c>
      <c r="R66">
        <v>117</v>
      </c>
      <c r="S66">
        <v>27</v>
      </c>
      <c r="T66">
        <v>119</v>
      </c>
      <c r="U66">
        <v>8</v>
      </c>
      <c r="V66">
        <v>114</v>
      </c>
      <c r="W66">
        <v>101</v>
      </c>
      <c r="X66" s="3">
        <v>133</v>
      </c>
      <c r="Y66" s="3">
        <v>134</v>
      </c>
      <c r="Z66" s="3">
        <v>-99</v>
      </c>
      <c r="AA66" s="3">
        <v>-99</v>
      </c>
      <c r="AB66" s="3">
        <v>-99</v>
      </c>
      <c r="AC66" t="s">
        <v>9</v>
      </c>
      <c r="AE66">
        <f t="shared" si="7"/>
        <v>14720</v>
      </c>
      <c r="AF66">
        <v>-99</v>
      </c>
      <c r="AG66">
        <v>-99</v>
      </c>
      <c r="AV66">
        <v>14720</v>
      </c>
      <c r="BJ66">
        <f t="shared" si="8"/>
        <v>14720</v>
      </c>
      <c r="BL66">
        <v>23</v>
      </c>
      <c r="BM66" t="s">
        <v>562</v>
      </c>
      <c r="BN66">
        <v>8</v>
      </c>
    </row>
    <row r="67" spans="1:66" x14ac:dyDescent="0.2">
      <c r="A67" t="s">
        <v>394</v>
      </c>
      <c r="B67" s="10" t="s">
        <v>215</v>
      </c>
      <c r="C67" s="3">
        <f t="shared" si="9"/>
        <v>112.1</v>
      </c>
      <c r="D67" t="s">
        <v>374</v>
      </c>
      <c r="E67">
        <v>6</v>
      </c>
      <c r="F67" t="s">
        <v>324</v>
      </c>
      <c r="G67" t="s">
        <v>7</v>
      </c>
      <c r="H67" t="s">
        <v>214</v>
      </c>
      <c r="I67" s="5" t="s">
        <v>325</v>
      </c>
      <c r="J67" s="3">
        <v>1887</v>
      </c>
      <c r="K67">
        <v>-99</v>
      </c>
      <c r="L67">
        <v>-99</v>
      </c>
      <c r="M67" t="s">
        <v>609</v>
      </c>
      <c r="N67">
        <v>-99</v>
      </c>
      <c r="O67">
        <v>-99</v>
      </c>
      <c r="P67">
        <v>-99</v>
      </c>
      <c r="Q67">
        <v>-99</v>
      </c>
      <c r="R67">
        <v>-99</v>
      </c>
      <c r="S67">
        <v>-99</v>
      </c>
      <c r="T67">
        <v>-99</v>
      </c>
      <c r="U67">
        <v>-99</v>
      </c>
      <c r="V67">
        <v>-99</v>
      </c>
      <c r="W67">
        <v>-99</v>
      </c>
      <c r="X67" s="3">
        <v>-99</v>
      </c>
      <c r="Y67" s="3">
        <v>-99</v>
      </c>
      <c r="Z67" s="3">
        <v>-99</v>
      </c>
      <c r="AA67" s="3">
        <v>-99</v>
      </c>
      <c r="AB67" s="3">
        <v>-99</v>
      </c>
      <c r="AC67" t="s">
        <v>9</v>
      </c>
      <c r="AE67">
        <f t="shared" si="7"/>
        <v>1280</v>
      </c>
      <c r="AF67">
        <v>640</v>
      </c>
      <c r="AG67">
        <v>633</v>
      </c>
      <c r="AV67">
        <v>640</v>
      </c>
      <c r="BJ67">
        <f t="shared" si="8"/>
        <v>640</v>
      </c>
      <c r="BL67">
        <v>2</v>
      </c>
      <c r="BM67" t="s">
        <v>326</v>
      </c>
      <c r="BN67">
        <v>8</v>
      </c>
    </row>
    <row r="68" spans="1:66" x14ac:dyDescent="0.2">
      <c r="A68" t="s">
        <v>395</v>
      </c>
      <c r="B68" s="10" t="s">
        <v>216</v>
      </c>
      <c r="C68" s="3">
        <f t="shared" si="9"/>
        <v>112.2</v>
      </c>
      <c r="D68" t="s">
        <v>374</v>
      </c>
      <c r="E68">
        <v>6</v>
      </c>
      <c r="F68" t="s">
        <v>213</v>
      </c>
      <c r="G68" t="s">
        <v>7</v>
      </c>
      <c r="H68" t="s">
        <v>214</v>
      </c>
      <c r="I68" s="5" t="s">
        <v>325</v>
      </c>
      <c r="J68" s="3">
        <v>1909</v>
      </c>
      <c r="K68">
        <v>1909</v>
      </c>
      <c r="L68">
        <v>130</v>
      </c>
      <c r="M68" t="s">
        <v>609</v>
      </c>
      <c r="N68">
        <v>-99</v>
      </c>
      <c r="O68">
        <v>-99</v>
      </c>
      <c r="P68">
        <v>-99</v>
      </c>
      <c r="Q68">
        <v>-99</v>
      </c>
      <c r="R68">
        <v>-99</v>
      </c>
      <c r="S68">
        <v>-99</v>
      </c>
      <c r="T68">
        <v>-99</v>
      </c>
      <c r="U68">
        <v>-99</v>
      </c>
      <c r="V68">
        <v>-99</v>
      </c>
      <c r="W68">
        <v>-99</v>
      </c>
      <c r="X68" s="3">
        <v>-99</v>
      </c>
      <c r="Y68" s="3">
        <v>-99</v>
      </c>
      <c r="Z68" s="3">
        <v>132</v>
      </c>
      <c r="AA68">
        <f>50+50+32</f>
        <v>132</v>
      </c>
      <c r="AB68">
        <f>50+50+38</f>
        <v>138</v>
      </c>
      <c r="AC68" t="s">
        <v>9</v>
      </c>
      <c r="AE68">
        <v>-99</v>
      </c>
      <c r="AF68">
        <v>15128.68</v>
      </c>
      <c r="AG68">
        <v>14948</v>
      </c>
      <c r="BJ68">
        <f t="shared" si="8"/>
        <v>0</v>
      </c>
      <c r="BL68">
        <v>0</v>
      </c>
      <c r="BM68" t="s">
        <v>327</v>
      </c>
      <c r="BN68">
        <v>8</v>
      </c>
    </row>
    <row r="69" spans="1:66" x14ac:dyDescent="0.2">
      <c r="A69" t="s">
        <v>498</v>
      </c>
      <c r="B69" s="10" t="s">
        <v>476</v>
      </c>
      <c r="C69" s="3">
        <f t="shared" si="9"/>
        <v>112.3</v>
      </c>
      <c r="D69" t="s">
        <v>374</v>
      </c>
      <c r="E69">
        <v>6</v>
      </c>
      <c r="F69" t="s">
        <v>213</v>
      </c>
      <c r="G69" t="s">
        <v>7</v>
      </c>
      <c r="H69" t="s">
        <v>214</v>
      </c>
      <c r="I69" s="5" t="s">
        <v>325</v>
      </c>
      <c r="J69" s="3" t="s">
        <v>495</v>
      </c>
      <c r="K69">
        <v>-99</v>
      </c>
      <c r="L69">
        <v>-99</v>
      </c>
      <c r="M69" t="s">
        <v>609</v>
      </c>
      <c r="N69">
        <v>-99</v>
      </c>
      <c r="O69">
        <v>-99</v>
      </c>
      <c r="P69">
        <v>-99</v>
      </c>
      <c r="Q69">
        <v>-99</v>
      </c>
      <c r="R69">
        <v>-99</v>
      </c>
      <c r="S69">
        <v>-99</v>
      </c>
      <c r="T69">
        <v>-99</v>
      </c>
      <c r="U69">
        <v>-99</v>
      </c>
      <c r="V69">
        <v>-99</v>
      </c>
      <c r="W69">
        <v>-99</v>
      </c>
      <c r="X69">
        <v>-99</v>
      </c>
      <c r="Y69">
        <v>-99</v>
      </c>
      <c r="Z69">
        <v>-99</v>
      </c>
      <c r="AA69">
        <v>-99</v>
      </c>
      <c r="AB69">
        <v>-99</v>
      </c>
      <c r="AC69" t="s">
        <v>9</v>
      </c>
      <c r="AE69">
        <v>-99</v>
      </c>
      <c r="AF69">
        <v>571.5</v>
      </c>
      <c r="AG69">
        <v>-99</v>
      </c>
      <c r="BJ69">
        <f t="shared" si="8"/>
        <v>0</v>
      </c>
      <c r="BL69">
        <v>0</v>
      </c>
      <c r="BM69" t="s">
        <v>500</v>
      </c>
      <c r="BN69">
        <v>4</v>
      </c>
    </row>
    <row r="70" spans="1:66" x14ac:dyDescent="0.2">
      <c r="A70" t="s">
        <v>497</v>
      </c>
      <c r="B70" s="10" t="s">
        <v>477</v>
      </c>
      <c r="C70" s="3">
        <f t="shared" si="9"/>
        <v>112.4</v>
      </c>
      <c r="D70" t="s">
        <v>374</v>
      </c>
      <c r="E70">
        <v>6</v>
      </c>
      <c r="F70" t="s">
        <v>213</v>
      </c>
      <c r="G70" t="s">
        <v>7</v>
      </c>
      <c r="H70" t="s">
        <v>214</v>
      </c>
      <c r="I70" s="5" t="s">
        <v>325</v>
      </c>
      <c r="J70" s="3" t="s">
        <v>495</v>
      </c>
      <c r="K70">
        <v>-99</v>
      </c>
      <c r="L70">
        <v>-99</v>
      </c>
      <c r="M70" t="s">
        <v>609</v>
      </c>
      <c r="N70">
        <v>-99</v>
      </c>
      <c r="O70">
        <v>-99</v>
      </c>
      <c r="P70">
        <v>-99</v>
      </c>
      <c r="Q70">
        <v>-99</v>
      </c>
      <c r="R70">
        <v>-99</v>
      </c>
      <c r="S70">
        <v>-99</v>
      </c>
      <c r="T70">
        <v>-99</v>
      </c>
      <c r="U70">
        <v>-99</v>
      </c>
      <c r="V70">
        <v>-99</v>
      </c>
      <c r="W70">
        <v>-99</v>
      </c>
      <c r="X70">
        <v>-99</v>
      </c>
      <c r="Y70">
        <v>-99</v>
      </c>
      <c r="Z70">
        <v>-99</v>
      </c>
      <c r="AA70">
        <v>-99</v>
      </c>
      <c r="AB70">
        <v>-99</v>
      </c>
      <c r="AC70" t="s">
        <v>9</v>
      </c>
      <c r="AE70">
        <v>-99</v>
      </c>
      <c r="AF70">
        <v>1572</v>
      </c>
      <c r="AG70">
        <v>-99</v>
      </c>
      <c r="BJ70">
        <f t="shared" si="8"/>
        <v>0</v>
      </c>
      <c r="BL70">
        <v>0</v>
      </c>
      <c r="BM70" t="s">
        <v>501</v>
      </c>
      <c r="BN70">
        <v>4</v>
      </c>
    </row>
    <row r="71" spans="1:66" x14ac:dyDescent="0.2">
      <c r="A71" t="s">
        <v>505</v>
      </c>
      <c r="B71" s="10" t="s">
        <v>504</v>
      </c>
      <c r="C71" s="3">
        <f t="shared" si="9"/>
        <v>112.5</v>
      </c>
      <c r="D71" t="s">
        <v>374</v>
      </c>
      <c r="E71">
        <v>6</v>
      </c>
      <c r="F71" t="s">
        <v>213</v>
      </c>
      <c r="G71" t="s">
        <v>7</v>
      </c>
      <c r="H71" t="s">
        <v>214</v>
      </c>
      <c r="I71" s="5" t="s">
        <v>325</v>
      </c>
      <c r="J71" s="3" t="s">
        <v>506</v>
      </c>
      <c r="K71">
        <v>-99</v>
      </c>
      <c r="L71">
        <v>-99</v>
      </c>
      <c r="M71" t="s">
        <v>609</v>
      </c>
      <c r="N71">
        <v>-99</v>
      </c>
      <c r="O71">
        <v>-99</v>
      </c>
      <c r="P71">
        <v>-99</v>
      </c>
      <c r="Q71">
        <v>-99</v>
      </c>
      <c r="R71">
        <v>-99</v>
      </c>
      <c r="S71">
        <v>-99</v>
      </c>
      <c r="T71">
        <v>-99</v>
      </c>
      <c r="U71">
        <v>-99</v>
      </c>
      <c r="V71">
        <v>-99</v>
      </c>
      <c r="W71">
        <v>-99</v>
      </c>
      <c r="X71">
        <v>-99</v>
      </c>
      <c r="Y71">
        <v>-99</v>
      </c>
      <c r="Z71">
        <v>-99</v>
      </c>
      <c r="AA71">
        <v>-99</v>
      </c>
      <c r="AB71">
        <v>-99</v>
      </c>
      <c r="AC71" t="s">
        <v>9</v>
      </c>
      <c r="AE71">
        <v>-99</v>
      </c>
      <c r="AF71">
        <v>-99</v>
      </c>
      <c r="AG71">
        <v>320</v>
      </c>
      <c r="BJ71">
        <f t="shared" si="8"/>
        <v>0</v>
      </c>
      <c r="BL71">
        <v>0</v>
      </c>
      <c r="BM71" t="s">
        <v>507</v>
      </c>
      <c r="BN71">
        <v>6</v>
      </c>
    </row>
    <row r="72" spans="1:66" x14ac:dyDescent="0.2">
      <c r="A72" t="s">
        <v>496</v>
      </c>
      <c r="B72" s="10" t="s">
        <v>475</v>
      </c>
      <c r="C72" s="3">
        <f t="shared" si="9"/>
        <v>112.6</v>
      </c>
      <c r="D72" t="s">
        <v>374</v>
      </c>
      <c r="E72">
        <v>6</v>
      </c>
      <c r="F72" t="s">
        <v>213</v>
      </c>
      <c r="G72" t="s">
        <v>7</v>
      </c>
      <c r="H72" t="s">
        <v>214</v>
      </c>
      <c r="I72" s="5" t="s">
        <v>325</v>
      </c>
      <c r="J72" s="3">
        <v>1915</v>
      </c>
      <c r="K72">
        <v>-99</v>
      </c>
      <c r="L72">
        <v>-99</v>
      </c>
      <c r="M72" t="s">
        <v>609</v>
      </c>
      <c r="N72">
        <v>-99</v>
      </c>
      <c r="O72">
        <v>-99</v>
      </c>
      <c r="P72">
        <v>-99</v>
      </c>
      <c r="Q72">
        <v>-99</v>
      </c>
      <c r="R72">
        <v>-99</v>
      </c>
      <c r="S72">
        <v>-99</v>
      </c>
      <c r="T72">
        <v>-99</v>
      </c>
      <c r="U72">
        <v>-99</v>
      </c>
      <c r="V72">
        <v>-99</v>
      </c>
      <c r="W72">
        <v>-99</v>
      </c>
      <c r="X72">
        <v>-99</v>
      </c>
      <c r="Y72">
        <v>-99</v>
      </c>
      <c r="Z72">
        <v>-99</v>
      </c>
      <c r="AA72">
        <v>-99</v>
      </c>
      <c r="AB72">
        <v>-99</v>
      </c>
      <c r="AC72" t="s">
        <v>9</v>
      </c>
      <c r="AE72">
        <f t="shared" ref="AE72:AE78" si="10">PRODUCT(BL72,640)</f>
        <v>0</v>
      </c>
      <c r="AF72">
        <v>-99</v>
      </c>
      <c r="AG72">
        <v>1438</v>
      </c>
      <c r="BJ72">
        <f t="shared" si="8"/>
        <v>0</v>
      </c>
      <c r="BL72">
        <v>0</v>
      </c>
      <c r="BM72" t="s">
        <v>503</v>
      </c>
      <c r="BN72">
        <v>6</v>
      </c>
    </row>
    <row r="73" spans="1:66" x14ac:dyDescent="0.2">
      <c r="A73" t="s">
        <v>396</v>
      </c>
      <c r="B73" s="10">
        <v>113</v>
      </c>
      <c r="C73" s="3">
        <f t="shared" si="9"/>
        <v>113</v>
      </c>
      <c r="D73" t="s">
        <v>374</v>
      </c>
      <c r="E73">
        <v>6</v>
      </c>
      <c r="F73" t="s">
        <v>217</v>
      </c>
      <c r="G73" t="s">
        <v>7</v>
      </c>
      <c r="H73" t="s">
        <v>218</v>
      </c>
      <c r="I73" s="5">
        <v>1876</v>
      </c>
      <c r="J73" s="3">
        <v>1884</v>
      </c>
      <c r="K73">
        <v>1881</v>
      </c>
      <c r="L73">
        <v>143</v>
      </c>
      <c r="M73" t="s">
        <v>609</v>
      </c>
      <c r="N73">
        <v>115</v>
      </c>
      <c r="O73">
        <v>25</v>
      </c>
      <c r="P73">
        <v>247</v>
      </c>
      <c r="Q73">
        <v>47</v>
      </c>
      <c r="R73">
        <v>284</v>
      </c>
      <c r="S73">
        <v>95</v>
      </c>
      <c r="T73">
        <v>139</v>
      </c>
      <c r="U73">
        <v>7</v>
      </c>
      <c r="V73">
        <v>134</v>
      </c>
      <c r="W73">
        <v>97</v>
      </c>
      <c r="X73" s="3">
        <v>82</v>
      </c>
      <c r="Y73" s="3">
        <v>78</v>
      </c>
      <c r="Z73" s="3">
        <v>75</v>
      </c>
      <c r="AA73">
        <f>50+50+8</f>
        <v>108</v>
      </c>
      <c r="AB73">
        <f>47+50+50+4</f>
        <v>151</v>
      </c>
      <c r="AC73" t="s">
        <v>9</v>
      </c>
      <c r="AE73">
        <f t="shared" si="10"/>
        <v>39123.200000000004</v>
      </c>
      <c r="AF73">
        <v>42501.75</v>
      </c>
      <c r="AG73">
        <v>38753</v>
      </c>
      <c r="BJ73">
        <f t="shared" si="8"/>
        <v>0</v>
      </c>
      <c r="BL73">
        <v>61.13</v>
      </c>
      <c r="BM73" t="s">
        <v>331</v>
      </c>
      <c r="BN73">
        <v>9</v>
      </c>
    </row>
    <row r="74" spans="1:66" x14ac:dyDescent="0.2">
      <c r="A74" t="s">
        <v>397</v>
      </c>
      <c r="B74" s="10" t="s">
        <v>219</v>
      </c>
      <c r="C74" s="3">
        <f t="shared" si="9"/>
        <v>113.1</v>
      </c>
      <c r="D74" t="s">
        <v>374</v>
      </c>
      <c r="E74">
        <v>6</v>
      </c>
      <c r="F74" t="s">
        <v>217</v>
      </c>
      <c r="G74" t="s">
        <v>7</v>
      </c>
      <c r="H74" t="s">
        <v>218</v>
      </c>
      <c r="I74" s="5">
        <v>1876</v>
      </c>
      <c r="J74" s="3">
        <v>1884</v>
      </c>
      <c r="K74">
        <v>1881</v>
      </c>
      <c r="L74">
        <v>-99</v>
      </c>
      <c r="M74" t="s">
        <v>609</v>
      </c>
      <c r="N74">
        <v>-99</v>
      </c>
      <c r="O74">
        <v>-99</v>
      </c>
      <c r="P74">
        <v>-99</v>
      </c>
      <c r="Q74">
        <v>-99</v>
      </c>
      <c r="R74">
        <v>-99</v>
      </c>
      <c r="S74">
        <v>-99</v>
      </c>
      <c r="T74">
        <v>-99</v>
      </c>
      <c r="U74">
        <v>-99</v>
      </c>
      <c r="V74">
        <v>-99</v>
      </c>
      <c r="W74">
        <v>-99</v>
      </c>
      <c r="X74" s="3">
        <v>-99</v>
      </c>
      <c r="Y74" s="3">
        <v>-99</v>
      </c>
      <c r="Z74" s="3">
        <v>-99</v>
      </c>
      <c r="AA74" s="3">
        <v>-99</v>
      </c>
      <c r="AB74" s="3">
        <v>-99</v>
      </c>
      <c r="AC74" t="s">
        <v>9</v>
      </c>
      <c r="AE74">
        <f t="shared" si="10"/>
        <v>2124.7999999999997</v>
      </c>
      <c r="AF74">
        <v>2124.8000000000002</v>
      </c>
      <c r="AG74">
        <v>2125</v>
      </c>
      <c r="BJ74">
        <f t="shared" si="8"/>
        <v>0</v>
      </c>
      <c r="BL74">
        <v>3.32</v>
      </c>
      <c r="BM74" t="s">
        <v>329</v>
      </c>
      <c r="BN74">
        <v>9</v>
      </c>
    </row>
    <row r="75" spans="1:66" x14ac:dyDescent="0.2">
      <c r="A75" t="s">
        <v>398</v>
      </c>
      <c r="B75" s="10" t="s">
        <v>220</v>
      </c>
      <c r="C75" s="3">
        <f t="shared" si="9"/>
        <v>113.2</v>
      </c>
      <c r="D75" t="s">
        <v>374</v>
      </c>
      <c r="E75">
        <v>6</v>
      </c>
      <c r="F75" t="s">
        <v>217</v>
      </c>
      <c r="G75" t="s">
        <v>7</v>
      </c>
      <c r="H75" t="s">
        <v>218</v>
      </c>
      <c r="I75" s="5">
        <v>1876</v>
      </c>
      <c r="J75" s="3">
        <v>1884</v>
      </c>
      <c r="K75">
        <v>-99</v>
      </c>
      <c r="L75">
        <v>-99</v>
      </c>
      <c r="M75" t="s">
        <v>609</v>
      </c>
      <c r="N75">
        <v>-99</v>
      </c>
      <c r="O75">
        <v>-99</v>
      </c>
      <c r="P75">
        <v>-99</v>
      </c>
      <c r="Q75">
        <v>-99</v>
      </c>
      <c r="R75">
        <v>-99</v>
      </c>
      <c r="S75">
        <v>-99</v>
      </c>
      <c r="T75">
        <v>-99</v>
      </c>
      <c r="U75">
        <v>-99</v>
      </c>
      <c r="V75">
        <v>-99</v>
      </c>
      <c r="W75">
        <v>-99</v>
      </c>
      <c r="X75" s="3">
        <v>-99</v>
      </c>
      <c r="Y75" s="3">
        <v>-99</v>
      </c>
      <c r="Z75" s="3">
        <v>-99</v>
      </c>
      <c r="AA75" s="3">
        <v>-99</v>
      </c>
      <c r="AB75" s="3">
        <v>-99</v>
      </c>
      <c r="AC75" t="s">
        <v>9</v>
      </c>
      <c r="AE75">
        <f t="shared" si="10"/>
        <v>1280</v>
      </c>
      <c r="AF75">
        <v>1280</v>
      </c>
      <c r="AG75">
        <v>1280</v>
      </c>
      <c r="BJ75">
        <f t="shared" si="8"/>
        <v>0</v>
      </c>
      <c r="BL75">
        <v>2</v>
      </c>
      <c r="BM75" t="s">
        <v>330</v>
      </c>
      <c r="BN75">
        <v>9</v>
      </c>
    </row>
    <row r="76" spans="1:66" x14ac:dyDescent="0.2">
      <c r="A76" t="s">
        <v>399</v>
      </c>
      <c r="B76" s="10">
        <v>114</v>
      </c>
      <c r="C76" s="3">
        <f t="shared" si="9"/>
        <v>114</v>
      </c>
      <c r="D76" t="s">
        <v>374</v>
      </c>
      <c r="E76">
        <v>6</v>
      </c>
      <c r="F76" t="s">
        <v>221</v>
      </c>
      <c r="G76" t="s">
        <v>7</v>
      </c>
      <c r="H76" t="s">
        <v>222</v>
      </c>
      <c r="I76" s="5">
        <v>1876</v>
      </c>
      <c r="J76" s="3">
        <v>1881</v>
      </c>
      <c r="K76">
        <v>1880</v>
      </c>
      <c r="L76">
        <v>165</v>
      </c>
      <c r="M76" t="s">
        <v>609</v>
      </c>
      <c r="N76">
        <v>96</v>
      </c>
      <c r="O76">
        <v>0</v>
      </c>
      <c r="P76">
        <v>202</v>
      </c>
      <c r="Q76">
        <v>34</v>
      </c>
      <c r="R76">
        <v>198</v>
      </c>
      <c r="S76">
        <v>64</v>
      </c>
      <c r="T76">
        <v>127</v>
      </c>
      <c r="U76">
        <v>14</v>
      </c>
      <c r="V76">
        <v>146</v>
      </c>
      <c r="W76">
        <v>108</v>
      </c>
      <c r="X76" s="3">
        <v>106</v>
      </c>
      <c r="Y76" s="3">
        <v>100</v>
      </c>
      <c r="Z76" s="3">
        <v>109</v>
      </c>
      <c r="AA76" s="3">
        <f>16+12+5+23+34+17</f>
        <v>107</v>
      </c>
      <c r="AB76">
        <f>50+50+50+15</f>
        <v>165</v>
      </c>
      <c r="AC76" t="s">
        <v>9</v>
      </c>
      <c r="AE76">
        <f t="shared" si="10"/>
        <v>19200</v>
      </c>
      <c r="AF76">
        <v>19155.84</v>
      </c>
      <c r="AG76">
        <v>19130</v>
      </c>
      <c r="BJ76">
        <f t="shared" si="8"/>
        <v>0</v>
      </c>
      <c r="BL76">
        <v>30</v>
      </c>
      <c r="BM76" t="s">
        <v>332</v>
      </c>
      <c r="BN76">
        <v>9</v>
      </c>
    </row>
    <row r="77" spans="1:66" x14ac:dyDescent="0.2">
      <c r="A77" t="s">
        <v>400</v>
      </c>
      <c r="B77" s="10">
        <v>115</v>
      </c>
      <c r="C77" s="3">
        <f t="shared" si="9"/>
        <v>115</v>
      </c>
      <c r="D77" t="s">
        <v>374</v>
      </c>
      <c r="E77">
        <v>6</v>
      </c>
      <c r="F77" t="s">
        <v>223</v>
      </c>
      <c r="G77" t="s">
        <v>7</v>
      </c>
      <c r="H77" t="s">
        <v>224</v>
      </c>
      <c r="I77" s="5">
        <v>1879</v>
      </c>
      <c r="J77" s="3">
        <v>1881</v>
      </c>
      <c r="K77">
        <v>1880</v>
      </c>
      <c r="L77">
        <v>185</v>
      </c>
      <c r="M77" t="s">
        <v>609</v>
      </c>
      <c r="N77">
        <v>185</v>
      </c>
      <c r="O77">
        <v>155</v>
      </c>
      <c r="P77">
        <v>258</v>
      </c>
      <c r="Q77">
        <v>55</v>
      </c>
      <c r="R77">
        <v>151</v>
      </c>
      <c r="S77">
        <v>13</v>
      </c>
      <c r="T77">
        <v>175</v>
      </c>
      <c r="U77">
        <v>9</v>
      </c>
      <c r="V77">
        <v>156</v>
      </c>
      <c r="W77">
        <v>145</v>
      </c>
      <c r="X77" s="3">
        <v>119</v>
      </c>
      <c r="Y77" s="3">
        <v>-99</v>
      </c>
      <c r="Z77" s="3">
        <v>-99</v>
      </c>
      <c r="AA77" s="3">
        <v>-99</v>
      </c>
      <c r="AB77" s="3">
        <v>-99</v>
      </c>
      <c r="AC77" t="s">
        <v>9</v>
      </c>
      <c r="AE77">
        <f t="shared" si="10"/>
        <v>15360</v>
      </c>
      <c r="AF77">
        <v>-99</v>
      </c>
      <c r="AG77">
        <v>-99</v>
      </c>
      <c r="AU77">
        <v>15360</v>
      </c>
      <c r="BJ77">
        <f t="shared" si="8"/>
        <v>15360</v>
      </c>
      <c r="BL77">
        <v>24</v>
      </c>
      <c r="BM77" t="s">
        <v>334</v>
      </c>
      <c r="BN77">
        <v>9</v>
      </c>
    </row>
    <row r="78" spans="1:66" x14ac:dyDescent="0.2">
      <c r="A78" t="s">
        <v>401</v>
      </c>
      <c r="B78" s="10" t="s">
        <v>225</v>
      </c>
      <c r="C78" s="3">
        <f t="shared" si="9"/>
        <v>115.1</v>
      </c>
      <c r="D78" t="s">
        <v>374</v>
      </c>
      <c r="E78">
        <v>6</v>
      </c>
      <c r="F78" t="s">
        <v>223</v>
      </c>
      <c r="G78" t="s">
        <v>7</v>
      </c>
      <c r="H78" t="s">
        <v>224</v>
      </c>
      <c r="I78" s="5">
        <v>1879</v>
      </c>
      <c r="J78" s="3">
        <v>1884</v>
      </c>
      <c r="K78">
        <v>-99</v>
      </c>
      <c r="L78">
        <v>-99</v>
      </c>
      <c r="M78" t="s">
        <v>609</v>
      </c>
      <c r="N78">
        <v>-99</v>
      </c>
      <c r="O78">
        <v>-99</v>
      </c>
      <c r="P78">
        <v>-99</v>
      </c>
      <c r="Q78">
        <v>-99</v>
      </c>
      <c r="R78">
        <v>-99</v>
      </c>
      <c r="S78">
        <v>-99</v>
      </c>
      <c r="T78">
        <v>-99</v>
      </c>
      <c r="U78">
        <v>-99</v>
      </c>
      <c r="V78">
        <v>-99</v>
      </c>
      <c r="W78">
        <v>-99</v>
      </c>
      <c r="X78" s="3">
        <v>-99</v>
      </c>
      <c r="Y78" s="3">
        <v>-99</v>
      </c>
      <c r="Z78" s="3">
        <v>-99</v>
      </c>
      <c r="AA78" s="3">
        <v>-99</v>
      </c>
      <c r="AB78" s="3">
        <v>-99</v>
      </c>
      <c r="AC78" t="s">
        <v>9</v>
      </c>
      <c r="AE78">
        <f t="shared" si="10"/>
        <v>5440</v>
      </c>
      <c r="AF78">
        <v>-99</v>
      </c>
      <c r="AG78">
        <v>-99</v>
      </c>
      <c r="AU78">
        <v>5440</v>
      </c>
      <c r="BJ78">
        <f t="shared" si="8"/>
        <v>5440</v>
      </c>
      <c r="BL78">
        <v>8.5</v>
      </c>
      <c r="BM78" t="s">
        <v>561</v>
      </c>
      <c r="BN78">
        <v>7</v>
      </c>
    </row>
    <row r="79" spans="1:66" x14ac:dyDescent="0.2">
      <c r="A79" t="s">
        <v>402</v>
      </c>
      <c r="B79" s="10" t="s">
        <v>333</v>
      </c>
      <c r="C79" s="3">
        <f t="shared" si="9"/>
        <v>115.2</v>
      </c>
      <c r="D79" t="s">
        <v>374</v>
      </c>
      <c r="E79">
        <v>6</v>
      </c>
      <c r="F79" t="s">
        <v>223</v>
      </c>
      <c r="G79" t="s">
        <v>7</v>
      </c>
      <c r="H79" t="s">
        <v>224</v>
      </c>
      <c r="I79" s="5">
        <v>1879</v>
      </c>
      <c r="J79" s="3">
        <v>1909</v>
      </c>
      <c r="K79">
        <v>1909</v>
      </c>
      <c r="L79">
        <v>-99</v>
      </c>
      <c r="M79" t="s">
        <v>609</v>
      </c>
      <c r="N79">
        <v>-99</v>
      </c>
      <c r="O79">
        <v>-99</v>
      </c>
      <c r="P79">
        <v>-99</v>
      </c>
      <c r="Q79">
        <v>-99</v>
      </c>
      <c r="R79">
        <v>-99</v>
      </c>
      <c r="S79">
        <v>-99</v>
      </c>
      <c r="T79">
        <v>-99</v>
      </c>
      <c r="U79">
        <v>-99</v>
      </c>
      <c r="V79">
        <v>-99</v>
      </c>
      <c r="W79">
        <v>-99</v>
      </c>
      <c r="X79" s="3">
        <v>-99</v>
      </c>
      <c r="Y79" s="3">
        <v>121</v>
      </c>
      <c r="Z79" s="3">
        <v>124</v>
      </c>
      <c r="AA79">
        <f>50+50+44</f>
        <v>144</v>
      </c>
      <c r="AB79">
        <f>50+50+50+50+13</f>
        <v>213</v>
      </c>
      <c r="AC79" t="s">
        <v>9</v>
      </c>
      <c r="AE79">
        <v>-99</v>
      </c>
      <c r="AF79">
        <v>13280</v>
      </c>
      <c r="AG79">
        <v>13687</v>
      </c>
      <c r="BJ79">
        <f t="shared" si="8"/>
        <v>0</v>
      </c>
      <c r="BL79">
        <v>0</v>
      </c>
      <c r="BM79" t="s">
        <v>336</v>
      </c>
      <c r="BN79">
        <v>9</v>
      </c>
    </row>
    <row r="80" spans="1:66" x14ac:dyDescent="0.2">
      <c r="A80" t="s">
        <v>403</v>
      </c>
      <c r="B80" s="10" t="s">
        <v>226</v>
      </c>
      <c r="C80" s="3">
        <f t="shared" si="9"/>
        <v>115.3</v>
      </c>
      <c r="D80" t="s">
        <v>374</v>
      </c>
      <c r="E80">
        <v>6</v>
      </c>
      <c r="F80" t="s">
        <v>227</v>
      </c>
      <c r="G80" t="s">
        <v>7</v>
      </c>
      <c r="H80" t="s">
        <v>224</v>
      </c>
      <c r="I80" s="5">
        <v>1879</v>
      </c>
      <c r="J80" s="3">
        <v>1909</v>
      </c>
      <c r="K80">
        <v>-99</v>
      </c>
      <c r="L80">
        <v>-99</v>
      </c>
      <c r="M80" t="s">
        <v>609</v>
      </c>
      <c r="N80">
        <v>-99</v>
      </c>
      <c r="O80">
        <v>-99</v>
      </c>
      <c r="P80">
        <v>-99</v>
      </c>
      <c r="Q80">
        <v>-99</v>
      </c>
      <c r="R80">
        <v>-99</v>
      </c>
      <c r="S80">
        <v>-99</v>
      </c>
      <c r="T80">
        <v>-99</v>
      </c>
      <c r="U80">
        <v>-99</v>
      </c>
      <c r="V80">
        <v>-99</v>
      </c>
      <c r="W80">
        <v>-99</v>
      </c>
      <c r="X80" s="3">
        <v>-99</v>
      </c>
      <c r="Y80" s="3">
        <v>-99</v>
      </c>
      <c r="Z80" s="3">
        <v>-99</v>
      </c>
      <c r="AA80" s="3">
        <v>-99</v>
      </c>
      <c r="AB80" s="3">
        <v>-99</v>
      </c>
      <c r="AC80" t="s">
        <v>9</v>
      </c>
      <c r="AE80">
        <v>-99</v>
      </c>
      <c r="AF80">
        <v>1248</v>
      </c>
      <c r="AG80">
        <v>1873</v>
      </c>
      <c r="BJ80">
        <f t="shared" si="8"/>
        <v>0</v>
      </c>
      <c r="BL80">
        <v>0</v>
      </c>
      <c r="BM80" t="s">
        <v>335</v>
      </c>
      <c r="BN80">
        <v>9</v>
      </c>
    </row>
    <row r="81" spans="1:66" x14ac:dyDescent="0.2">
      <c r="A81" t="s">
        <v>499</v>
      </c>
      <c r="B81" s="10" t="s">
        <v>474</v>
      </c>
      <c r="C81" s="3">
        <f t="shared" si="9"/>
        <v>115.4</v>
      </c>
      <c r="D81" t="s">
        <v>374</v>
      </c>
      <c r="E81">
        <v>6</v>
      </c>
      <c r="F81" t="s">
        <v>223</v>
      </c>
      <c r="G81" t="s">
        <v>7</v>
      </c>
      <c r="H81" t="s">
        <v>224</v>
      </c>
      <c r="I81" s="5">
        <v>1879</v>
      </c>
      <c r="J81" s="3">
        <v>1915</v>
      </c>
      <c r="K81">
        <v>-99</v>
      </c>
      <c r="L81">
        <v>-99</v>
      </c>
      <c r="M81" t="s">
        <v>609</v>
      </c>
      <c r="N81">
        <v>-99</v>
      </c>
      <c r="O81">
        <v>-99</v>
      </c>
      <c r="P81">
        <v>-99</v>
      </c>
      <c r="Q81">
        <v>-99</v>
      </c>
      <c r="R81">
        <v>-99</v>
      </c>
      <c r="S81">
        <v>-99</v>
      </c>
      <c r="T81">
        <v>-99</v>
      </c>
      <c r="U81">
        <v>-99</v>
      </c>
      <c r="V81">
        <v>-99</v>
      </c>
      <c r="W81">
        <v>-99</v>
      </c>
      <c r="X81">
        <v>-99</v>
      </c>
      <c r="Y81">
        <v>-99</v>
      </c>
      <c r="Z81">
        <v>-99</v>
      </c>
      <c r="AA81">
        <v>-99</v>
      </c>
      <c r="AB81">
        <v>-99</v>
      </c>
      <c r="AC81" t="s">
        <v>9</v>
      </c>
      <c r="AE81">
        <v>-99</v>
      </c>
      <c r="AF81">
        <v>-99</v>
      </c>
      <c r="AG81">
        <v>1280</v>
      </c>
      <c r="BJ81">
        <f t="shared" si="8"/>
        <v>0</v>
      </c>
      <c r="BL81">
        <v>0</v>
      </c>
      <c r="BM81" t="s">
        <v>502</v>
      </c>
      <c r="BN81">
        <v>6</v>
      </c>
    </row>
    <row r="82" spans="1:66" x14ac:dyDescent="0.2">
      <c r="A82" t="s">
        <v>404</v>
      </c>
      <c r="B82" s="10">
        <v>116</v>
      </c>
      <c r="C82" s="3">
        <f t="shared" si="9"/>
        <v>116</v>
      </c>
      <c r="D82" t="s">
        <v>374</v>
      </c>
      <c r="E82">
        <v>6</v>
      </c>
      <c r="F82" t="s">
        <v>228</v>
      </c>
      <c r="G82" t="s">
        <v>7</v>
      </c>
      <c r="H82" t="s">
        <v>229</v>
      </c>
      <c r="I82" s="5">
        <v>1879</v>
      </c>
      <c r="J82" s="3">
        <v>1887</v>
      </c>
      <c r="K82">
        <v>1884</v>
      </c>
      <c r="L82">
        <v>2478</v>
      </c>
      <c r="M82" t="s">
        <v>609</v>
      </c>
      <c r="N82">
        <v>2478</v>
      </c>
      <c r="O82">
        <v>-99</v>
      </c>
      <c r="P82">
        <v>311</v>
      </c>
      <c r="Q82">
        <v>139</v>
      </c>
      <c r="R82">
        <v>327</v>
      </c>
      <c r="S82">
        <v>171</v>
      </c>
      <c r="T82">
        <v>139</v>
      </c>
      <c r="U82">
        <v>22</v>
      </c>
      <c r="V82">
        <v>141</v>
      </c>
      <c r="W82">
        <v>99</v>
      </c>
      <c r="X82" s="3">
        <v>116</v>
      </c>
      <c r="Y82" s="3">
        <v>136</v>
      </c>
      <c r="Z82" s="3">
        <v>145</v>
      </c>
      <c r="AA82">
        <f>26+38+45+27+16+13</f>
        <v>165</v>
      </c>
      <c r="AB82">
        <f>43+50+50+31</f>
        <v>174</v>
      </c>
      <c r="AC82" t="s">
        <v>9</v>
      </c>
      <c r="AE82">
        <f>PRODUCT(BL82,640)</f>
        <v>16000</v>
      </c>
      <c r="AF82">
        <v>14720</v>
      </c>
      <c r="AG82">
        <v>15077</v>
      </c>
      <c r="AH82" s="7">
        <v>1280</v>
      </c>
      <c r="BJ82">
        <f t="shared" si="8"/>
        <v>1280</v>
      </c>
      <c r="BL82">
        <v>25</v>
      </c>
      <c r="BM82" t="s">
        <v>337</v>
      </c>
      <c r="BN82">
        <v>9</v>
      </c>
    </row>
    <row r="83" spans="1:66" x14ac:dyDescent="0.2">
      <c r="A83" t="s">
        <v>405</v>
      </c>
      <c r="B83" s="10">
        <v>117</v>
      </c>
      <c r="C83" s="3">
        <f t="shared" si="9"/>
        <v>117</v>
      </c>
      <c r="D83" t="s">
        <v>374</v>
      </c>
      <c r="E83">
        <v>6</v>
      </c>
      <c r="F83" t="s">
        <v>230</v>
      </c>
      <c r="G83" t="s">
        <v>7</v>
      </c>
      <c r="H83" t="s">
        <v>230</v>
      </c>
      <c r="I83" s="5">
        <v>1950</v>
      </c>
      <c r="J83">
        <v>1913</v>
      </c>
      <c r="K83">
        <v>1876</v>
      </c>
      <c r="L83">
        <v>160</v>
      </c>
      <c r="M83" t="s">
        <v>609</v>
      </c>
      <c r="N83">
        <v>-99</v>
      </c>
      <c r="O83">
        <v>-99</v>
      </c>
      <c r="P83">
        <v>-99</v>
      </c>
      <c r="Q83">
        <v>-99</v>
      </c>
      <c r="R83">
        <v>-99</v>
      </c>
      <c r="S83">
        <v>-99</v>
      </c>
      <c r="T83">
        <v>-99</v>
      </c>
      <c r="U83">
        <v>-99</v>
      </c>
      <c r="V83">
        <v>-99</v>
      </c>
      <c r="W83">
        <v>-99</v>
      </c>
      <c r="X83" s="3">
        <v>-99</v>
      </c>
      <c r="Y83" s="3">
        <v>-99</v>
      </c>
      <c r="Z83" s="3">
        <v>-99</v>
      </c>
      <c r="AA83" s="3">
        <v>30</v>
      </c>
      <c r="AB83">
        <f>50+7</f>
        <v>57</v>
      </c>
      <c r="AC83" t="s">
        <v>493</v>
      </c>
      <c r="AD83">
        <v>20480</v>
      </c>
      <c r="AE83">
        <v>-99</v>
      </c>
      <c r="AF83">
        <v>-99</v>
      </c>
      <c r="AG83">
        <v>4237</v>
      </c>
      <c r="BJ83">
        <f t="shared" si="8"/>
        <v>0</v>
      </c>
      <c r="BL83">
        <v>0</v>
      </c>
      <c r="BM83" t="s">
        <v>494</v>
      </c>
      <c r="BN83">
        <v>8</v>
      </c>
    </row>
    <row r="84" spans="1:66" x14ac:dyDescent="0.2">
      <c r="A84" t="s">
        <v>406</v>
      </c>
      <c r="B84" s="10">
        <v>118</v>
      </c>
      <c r="C84" s="3">
        <f t="shared" si="9"/>
        <v>118</v>
      </c>
      <c r="D84" t="s">
        <v>374</v>
      </c>
      <c r="E84">
        <v>6</v>
      </c>
      <c r="F84" t="s">
        <v>231</v>
      </c>
      <c r="G84" t="s">
        <v>7</v>
      </c>
      <c r="H84" t="s">
        <v>232</v>
      </c>
      <c r="I84" s="5">
        <v>1878</v>
      </c>
      <c r="J84" s="3">
        <v>1898</v>
      </c>
      <c r="K84">
        <v>1885</v>
      </c>
      <c r="L84">
        <v>113</v>
      </c>
      <c r="M84" t="s">
        <v>609</v>
      </c>
      <c r="N84">
        <v>113</v>
      </c>
      <c r="O84">
        <v>43</v>
      </c>
      <c r="P84">
        <v>106</v>
      </c>
      <c r="Q84">
        <v>0</v>
      </c>
      <c r="R84">
        <v>120</v>
      </c>
      <c r="S84">
        <v>0</v>
      </c>
      <c r="T84">
        <v>100</v>
      </c>
      <c r="U84">
        <v>0</v>
      </c>
      <c r="V84">
        <v>103</v>
      </c>
      <c r="W84">
        <v>103</v>
      </c>
      <c r="X84" s="3">
        <v>111</v>
      </c>
      <c r="Y84" s="3">
        <v>91</v>
      </c>
      <c r="Z84" s="3">
        <v>127</v>
      </c>
      <c r="AA84">
        <f>50+50+50+50</f>
        <v>200</v>
      </c>
      <c r="AB84">
        <f>19+50+50+50+50+1</f>
        <v>220</v>
      </c>
      <c r="AC84" t="s">
        <v>9</v>
      </c>
      <c r="AE84">
        <f>PRODUCT(BL84,640)</f>
        <v>29664</v>
      </c>
      <c r="AF84">
        <v>28684</v>
      </c>
      <c r="AG84">
        <v>28594</v>
      </c>
      <c r="AU84">
        <v>980</v>
      </c>
      <c r="BJ84">
        <f t="shared" si="8"/>
        <v>980</v>
      </c>
      <c r="BL84">
        <v>46.35</v>
      </c>
      <c r="BM84" t="s">
        <v>338</v>
      </c>
      <c r="BN84">
        <v>7</v>
      </c>
    </row>
    <row r="85" spans="1:66" x14ac:dyDescent="0.2">
      <c r="A85" t="s">
        <v>407</v>
      </c>
      <c r="B85" s="10" t="s">
        <v>233</v>
      </c>
      <c r="C85" s="3">
        <f t="shared" si="9"/>
        <v>118.1</v>
      </c>
      <c r="D85" t="s">
        <v>374</v>
      </c>
      <c r="E85">
        <v>6</v>
      </c>
      <c r="F85" t="s">
        <v>231</v>
      </c>
      <c r="G85" t="s">
        <v>7</v>
      </c>
      <c r="H85" t="s">
        <v>232</v>
      </c>
      <c r="I85" s="5">
        <v>1878</v>
      </c>
      <c r="J85" s="3">
        <v>1908</v>
      </c>
      <c r="K85">
        <v>1908</v>
      </c>
      <c r="L85">
        <v>-99</v>
      </c>
      <c r="M85" t="s">
        <v>609</v>
      </c>
      <c r="N85">
        <v>-99</v>
      </c>
      <c r="O85">
        <v>-99</v>
      </c>
      <c r="P85">
        <v>-99</v>
      </c>
      <c r="Q85">
        <v>-99</v>
      </c>
      <c r="R85">
        <v>-99</v>
      </c>
      <c r="S85">
        <v>-99</v>
      </c>
      <c r="T85">
        <v>-99</v>
      </c>
      <c r="U85">
        <v>-99</v>
      </c>
      <c r="V85">
        <v>-99</v>
      </c>
      <c r="W85">
        <v>-99</v>
      </c>
      <c r="X85" s="3">
        <v>-99</v>
      </c>
      <c r="Y85" s="3">
        <v>-99</v>
      </c>
      <c r="Z85" s="3">
        <v>-99</v>
      </c>
      <c r="AA85" s="3">
        <v>-99</v>
      </c>
      <c r="AB85" s="3">
        <v>-99</v>
      </c>
      <c r="AC85" t="s">
        <v>9</v>
      </c>
      <c r="AE85">
        <v>-99</v>
      </c>
      <c r="AF85">
        <v>980</v>
      </c>
      <c r="AG85">
        <v>971</v>
      </c>
      <c r="BC85">
        <v>980</v>
      </c>
      <c r="BJ85">
        <f t="shared" si="8"/>
        <v>980</v>
      </c>
      <c r="BL85">
        <v>0</v>
      </c>
      <c r="BM85" t="s">
        <v>339</v>
      </c>
      <c r="BN85">
        <v>8</v>
      </c>
    </row>
    <row r="86" spans="1:66" x14ac:dyDescent="0.2">
      <c r="A86" t="s">
        <v>408</v>
      </c>
      <c r="B86" s="10">
        <v>119</v>
      </c>
      <c r="C86" s="3">
        <f t="shared" si="9"/>
        <v>119</v>
      </c>
      <c r="D86" t="s">
        <v>374</v>
      </c>
      <c r="E86">
        <v>6</v>
      </c>
      <c r="F86" t="s">
        <v>234</v>
      </c>
      <c r="G86" t="s">
        <v>7</v>
      </c>
      <c r="H86" t="s">
        <v>235</v>
      </c>
      <c r="I86" s="5">
        <v>1876</v>
      </c>
      <c r="J86" s="3">
        <v>1879</v>
      </c>
      <c r="K86">
        <v>1878</v>
      </c>
      <c r="L86">
        <v>60</v>
      </c>
      <c r="M86" t="s">
        <v>610</v>
      </c>
      <c r="N86">
        <v>108</v>
      </c>
      <c r="O86">
        <v>3</v>
      </c>
      <c r="P86">
        <v>221</v>
      </c>
      <c r="Q86">
        <v>58</v>
      </c>
      <c r="R86">
        <v>216</v>
      </c>
      <c r="S86">
        <v>57</v>
      </c>
      <c r="T86">
        <v>199</v>
      </c>
      <c r="U86">
        <v>13</v>
      </c>
      <c r="V86">
        <v>178</v>
      </c>
      <c r="W86">
        <v>250</v>
      </c>
      <c r="X86" s="3">
        <v>277</v>
      </c>
      <c r="Y86" s="3">
        <v>315</v>
      </c>
      <c r="Z86" s="3">
        <v>185</v>
      </c>
      <c r="AA86">
        <f>50+50+50+50+50+50+22</f>
        <v>322</v>
      </c>
      <c r="AB86">
        <f>32+50+32+50+50+27+50+50+50+50+47</f>
        <v>488</v>
      </c>
      <c r="AC86" t="s">
        <v>9</v>
      </c>
      <c r="AE86">
        <f>PRODUCT(BL86,640)</f>
        <v>38400</v>
      </c>
      <c r="AF86">
        <v>38400</v>
      </c>
      <c r="AG86">
        <v>38291</v>
      </c>
      <c r="BJ86">
        <f t="shared" si="8"/>
        <v>0</v>
      </c>
      <c r="BL86">
        <v>60</v>
      </c>
      <c r="BM86" t="s">
        <v>341</v>
      </c>
      <c r="BN86">
        <v>9</v>
      </c>
    </row>
    <row r="87" spans="1:66" x14ac:dyDescent="0.2">
      <c r="A87" t="s">
        <v>409</v>
      </c>
      <c r="B87" s="10">
        <v>120</v>
      </c>
      <c r="C87" s="3">
        <f t="shared" si="9"/>
        <v>120</v>
      </c>
      <c r="D87" t="s">
        <v>374</v>
      </c>
      <c r="E87">
        <v>6</v>
      </c>
      <c r="F87" t="s">
        <v>236</v>
      </c>
      <c r="G87" s="6" t="s">
        <v>340</v>
      </c>
      <c r="H87" t="s">
        <v>235</v>
      </c>
      <c r="I87" s="5">
        <v>1878</v>
      </c>
      <c r="J87" s="3">
        <v>1879</v>
      </c>
      <c r="K87">
        <v>1884</v>
      </c>
      <c r="L87">
        <v>27</v>
      </c>
      <c r="M87" t="s">
        <v>610</v>
      </c>
      <c r="N87">
        <v>68</v>
      </c>
      <c r="O87">
        <v>2</v>
      </c>
      <c r="P87">
        <v>210</v>
      </c>
      <c r="Q87">
        <v>210</v>
      </c>
      <c r="R87">
        <v>95</v>
      </c>
      <c r="S87">
        <v>6</v>
      </c>
      <c r="T87">
        <v>106</v>
      </c>
      <c r="U87">
        <v>0</v>
      </c>
      <c r="V87">
        <v>104</v>
      </c>
      <c r="W87">
        <v>108</v>
      </c>
      <c r="X87" s="3">
        <v>90</v>
      </c>
      <c r="Y87" s="3">
        <v>93</v>
      </c>
      <c r="Z87" s="3">
        <v>80</v>
      </c>
      <c r="AA87" s="3">
        <v>-99</v>
      </c>
      <c r="AB87" s="3">
        <v>-99</v>
      </c>
      <c r="AC87" t="s">
        <v>9</v>
      </c>
      <c r="AE87">
        <f>PRODUCT(BL87,640)</f>
        <v>14080</v>
      </c>
      <c r="AF87">
        <v>14080</v>
      </c>
      <c r="AG87">
        <v>14051</v>
      </c>
      <c r="BJ87">
        <f t="shared" si="8"/>
        <v>0</v>
      </c>
      <c r="BL87">
        <v>22</v>
      </c>
      <c r="BM87" t="s">
        <v>342</v>
      </c>
      <c r="BN87">
        <v>9</v>
      </c>
    </row>
    <row r="88" spans="1:66" x14ac:dyDescent="0.2">
      <c r="A88" t="s">
        <v>410</v>
      </c>
      <c r="B88" s="10">
        <v>124</v>
      </c>
      <c r="C88" s="3">
        <f t="shared" si="9"/>
        <v>124</v>
      </c>
      <c r="D88" t="s">
        <v>374</v>
      </c>
      <c r="E88">
        <v>6</v>
      </c>
      <c r="F88" t="s">
        <v>237</v>
      </c>
      <c r="G88" s="6" t="s">
        <v>7</v>
      </c>
      <c r="H88" t="s">
        <v>238</v>
      </c>
      <c r="I88" s="5">
        <v>1913</v>
      </c>
      <c r="J88" s="3">
        <v>1915</v>
      </c>
      <c r="K88">
        <v>1910</v>
      </c>
      <c r="L88">
        <v>88</v>
      </c>
      <c r="M88" t="s">
        <v>609</v>
      </c>
      <c r="N88">
        <v>-99</v>
      </c>
      <c r="O88">
        <v>-99</v>
      </c>
      <c r="P88">
        <v>-99</v>
      </c>
      <c r="Q88">
        <v>-99</v>
      </c>
      <c r="R88">
        <v>-99</v>
      </c>
      <c r="S88">
        <v>-99</v>
      </c>
      <c r="T88">
        <v>-99</v>
      </c>
      <c r="U88">
        <v>-99</v>
      </c>
      <c r="V88">
        <v>-99</v>
      </c>
      <c r="W88">
        <v>-99</v>
      </c>
      <c r="X88" s="3">
        <v>-99</v>
      </c>
      <c r="Y88" s="3">
        <v>-99</v>
      </c>
      <c r="Z88" s="3">
        <v>-99</v>
      </c>
      <c r="AA88" s="3">
        <f>50+50</f>
        <v>100</v>
      </c>
      <c r="AB88" s="3">
        <f>30+50+28</f>
        <v>108</v>
      </c>
      <c r="AC88" t="s">
        <v>9</v>
      </c>
      <c r="AE88">
        <v>-99</v>
      </c>
      <c r="AF88">
        <v>-99</v>
      </c>
      <c r="AG88">
        <v>11617</v>
      </c>
      <c r="BJ88">
        <f t="shared" si="8"/>
        <v>0</v>
      </c>
      <c r="BL88">
        <v>0</v>
      </c>
      <c r="BM88" t="s">
        <v>343</v>
      </c>
      <c r="BN88">
        <v>6</v>
      </c>
    </row>
    <row r="89" spans="1:66" x14ac:dyDescent="0.2">
      <c r="A89" t="s">
        <v>411</v>
      </c>
      <c r="B89" s="10">
        <v>129</v>
      </c>
      <c r="C89" s="3">
        <f t="shared" si="9"/>
        <v>129</v>
      </c>
      <c r="D89" t="s">
        <v>374</v>
      </c>
      <c r="E89">
        <v>6</v>
      </c>
      <c r="F89" t="s">
        <v>239</v>
      </c>
      <c r="G89" s="6" t="s">
        <v>7</v>
      </c>
      <c r="H89" t="s">
        <v>240</v>
      </c>
      <c r="I89" s="5">
        <v>1876</v>
      </c>
      <c r="J89" s="3">
        <v>1915</v>
      </c>
      <c r="K89">
        <v>1911</v>
      </c>
      <c r="L89">
        <v>91</v>
      </c>
      <c r="M89" t="s">
        <v>609</v>
      </c>
      <c r="N89">
        <v>-99</v>
      </c>
      <c r="O89">
        <v>-99</v>
      </c>
      <c r="P89">
        <v>-99</v>
      </c>
      <c r="Q89">
        <v>-99</v>
      </c>
      <c r="R89">
        <v>-99</v>
      </c>
      <c r="S89">
        <v>-99</v>
      </c>
      <c r="T89">
        <v>-99</v>
      </c>
      <c r="U89">
        <v>-99</v>
      </c>
      <c r="V89">
        <v>-99</v>
      </c>
      <c r="W89">
        <v>-99</v>
      </c>
      <c r="X89" s="3">
        <v>-99</v>
      </c>
      <c r="Y89" s="3">
        <v>-99</v>
      </c>
      <c r="Z89" s="3">
        <v>-99</v>
      </c>
      <c r="AA89" s="3">
        <v>44</v>
      </c>
      <c r="AB89">
        <f>50+50+16</f>
        <v>116</v>
      </c>
      <c r="AC89" t="s">
        <v>9</v>
      </c>
      <c r="AE89">
        <v>-99</v>
      </c>
      <c r="AF89">
        <v>-99</v>
      </c>
      <c r="AG89">
        <v>4537</v>
      </c>
      <c r="BJ89">
        <f t="shared" si="8"/>
        <v>0</v>
      </c>
      <c r="BL89">
        <v>0</v>
      </c>
      <c r="BM89" t="s">
        <v>345</v>
      </c>
      <c r="BN89">
        <v>6</v>
      </c>
    </row>
    <row r="90" spans="1:66" x14ac:dyDescent="0.2">
      <c r="A90" t="s">
        <v>412</v>
      </c>
      <c r="B90" s="10" t="s">
        <v>241</v>
      </c>
      <c r="C90" s="3">
        <f t="shared" si="9"/>
        <v>129.1</v>
      </c>
      <c r="D90" t="s">
        <v>374</v>
      </c>
      <c r="E90">
        <v>6</v>
      </c>
      <c r="F90" t="s">
        <v>239</v>
      </c>
      <c r="G90" s="6" t="s">
        <v>7</v>
      </c>
      <c r="H90" t="s">
        <v>240</v>
      </c>
      <c r="I90" s="5">
        <v>1876</v>
      </c>
      <c r="J90" s="3">
        <v>1915</v>
      </c>
      <c r="K90">
        <v>1911</v>
      </c>
      <c r="L90">
        <v>-99</v>
      </c>
      <c r="M90" t="s">
        <v>609</v>
      </c>
      <c r="N90">
        <v>-99</v>
      </c>
      <c r="O90">
        <v>-99</v>
      </c>
      <c r="P90">
        <v>-99</v>
      </c>
      <c r="Q90">
        <v>-99</v>
      </c>
      <c r="R90">
        <v>-99</v>
      </c>
      <c r="S90">
        <v>-99</v>
      </c>
      <c r="T90">
        <v>-99</v>
      </c>
      <c r="U90">
        <v>-99</v>
      </c>
      <c r="V90">
        <v>-99</v>
      </c>
      <c r="W90">
        <v>-99</v>
      </c>
      <c r="X90" s="3">
        <v>-99</v>
      </c>
      <c r="Y90" s="3">
        <v>-99</v>
      </c>
      <c r="Z90" s="3">
        <v>-99</v>
      </c>
      <c r="AA90" s="3">
        <v>-99</v>
      </c>
      <c r="AB90" s="3">
        <v>-99</v>
      </c>
      <c r="AC90" t="s">
        <v>9</v>
      </c>
      <c r="AE90">
        <v>-99</v>
      </c>
      <c r="AF90">
        <v>-99</v>
      </c>
      <c r="AG90">
        <v>638</v>
      </c>
      <c r="BJ90">
        <f t="shared" si="8"/>
        <v>0</v>
      </c>
      <c r="BL90">
        <v>0</v>
      </c>
      <c r="BM90" t="s">
        <v>344</v>
      </c>
      <c r="BN90">
        <v>6</v>
      </c>
    </row>
    <row r="91" spans="1:66" x14ac:dyDescent="0.2">
      <c r="A91" t="s">
        <v>413</v>
      </c>
      <c r="B91" s="10" t="s">
        <v>242</v>
      </c>
      <c r="C91" s="3">
        <f t="shared" si="9"/>
        <v>129.19999999999999</v>
      </c>
      <c r="D91" t="s">
        <v>374</v>
      </c>
      <c r="E91">
        <v>6</v>
      </c>
      <c r="F91" t="s">
        <v>239</v>
      </c>
      <c r="G91" s="6" t="s">
        <v>7</v>
      </c>
      <c r="H91" t="s">
        <v>240</v>
      </c>
      <c r="I91" s="5">
        <v>1876</v>
      </c>
      <c r="J91" s="3">
        <v>1930</v>
      </c>
      <c r="K91">
        <v>-99</v>
      </c>
      <c r="L91">
        <v>-99</v>
      </c>
      <c r="M91" t="s">
        <v>609</v>
      </c>
      <c r="N91">
        <v>-99</v>
      </c>
      <c r="O91">
        <v>-99</v>
      </c>
      <c r="P91">
        <v>-99</v>
      </c>
      <c r="Q91">
        <v>-99</v>
      </c>
      <c r="R91">
        <v>-99</v>
      </c>
      <c r="S91">
        <v>-99</v>
      </c>
      <c r="T91">
        <v>-99</v>
      </c>
      <c r="U91">
        <v>-99</v>
      </c>
      <c r="V91">
        <v>-99</v>
      </c>
      <c r="W91">
        <v>-99</v>
      </c>
      <c r="X91" s="3">
        <v>-99</v>
      </c>
      <c r="Y91" s="3">
        <v>-99</v>
      </c>
      <c r="Z91" s="3">
        <v>-99</v>
      </c>
      <c r="AA91" s="3">
        <v>-99</v>
      </c>
      <c r="AB91" s="3">
        <v>-99</v>
      </c>
      <c r="AC91" t="s">
        <v>9</v>
      </c>
      <c r="AD91">
        <v>9243.7000000000007</v>
      </c>
      <c r="AE91">
        <v>-99</v>
      </c>
      <c r="AF91">
        <v>-99</v>
      </c>
      <c r="AG91">
        <v>8970</v>
      </c>
      <c r="BJ91">
        <f t="shared" si="8"/>
        <v>0</v>
      </c>
      <c r="BL91">
        <v>0</v>
      </c>
      <c r="BM91" t="s">
        <v>556</v>
      </c>
      <c r="BN91">
        <v>6</v>
      </c>
    </row>
    <row r="92" spans="1:66" x14ac:dyDescent="0.2">
      <c r="A92" t="s">
        <v>414</v>
      </c>
      <c r="B92" s="10">
        <v>130</v>
      </c>
      <c r="C92" s="3">
        <f t="shared" si="9"/>
        <v>130</v>
      </c>
      <c r="D92" t="s">
        <v>374</v>
      </c>
      <c r="E92">
        <v>6</v>
      </c>
      <c r="F92" t="s">
        <v>243</v>
      </c>
      <c r="G92" s="6" t="s">
        <v>7</v>
      </c>
      <c r="H92" t="s">
        <v>244</v>
      </c>
      <c r="I92" s="5">
        <v>1921</v>
      </c>
      <c r="J92" s="3">
        <v>1926</v>
      </c>
      <c r="K92">
        <v>1903</v>
      </c>
      <c r="L92">
        <v>94</v>
      </c>
      <c r="M92" t="s">
        <v>609</v>
      </c>
      <c r="N92">
        <v>-99</v>
      </c>
      <c r="O92">
        <v>-99</v>
      </c>
      <c r="P92">
        <v>-99</v>
      </c>
      <c r="Q92">
        <v>-99</v>
      </c>
      <c r="R92">
        <v>-99</v>
      </c>
      <c r="S92">
        <v>-99</v>
      </c>
      <c r="T92">
        <v>-99</v>
      </c>
      <c r="U92">
        <v>-99</v>
      </c>
      <c r="V92">
        <v>-99</v>
      </c>
      <c r="W92">
        <v>-99</v>
      </c>
      <c r="X92">
        <v>-99</v>
      </c>
      <c r="Y92">
        <v>-99</v>
      </c>
      <c r="Z92">
        <v>-99</v>
      </c>
      <c r="AA92">
        <f>50+48</f>
        <v>98</v>
      </c>
      <c r="AB92">
        <v>172</v>
      </c>
      <c r="AC92" t="s">
        <v>9</v>
      </c>
      <c r="AD92">
        <v>19698.599999999999</v>
      </c>
      <c r="AE92">
        <v>-99</v>
      </c>
      <c r="AF92">
        <v>-99</v>
      </c>
      <c r="AG92">
        <v>19700</v>
      </c>
      <c r="BJ92">
        <f t="shared" si="8"/>
        <v>0</v>
      </c>
      <c r="BL92">
        <v>0</v>
      </c>
      <c r="BM92" t="s">
        <v>347</v>
      </c>
      <c r="BN92">
        <v>8</v>
      </c>
    </row>
    <row r="93" spans="1:66" x14ac:dyDescent="0.2">
      <c r="A93" t="s">
        <v>361</v>
      </c>
      <c r="B93" s="10">
        <v>156</v>
      </c>
      <c r="C93" s="3">
        <f t="shared" si="9"/>
        <v>156</v>
      </c>
      <c r="D93" t="s">
        <v>375</v>
      </c>
      <c r="E93">
        <v>6</v>
      </c>
      <c r="F93" t="s">
        <v>245</v>
      </c>
      <c r="G93" s="6" t="s">
        <v>7</v>
      </c>
      <c r="H93" t="s">
        <v>246</v>
      </c>
      <c r="I93" s="5">
        <v>1889</v>
      </c>
      <c r="J93" s="3">
        <v>1909</v>
      </c>
      <c r="K93">
        <v>1889</v>
      </c>
      <c r="L93">
        <v>334</v>
      </c>
      <c r="M93" t="s">
        <v>609</v>
      </c>
      <c r="N93">
        <v>-99</v>
      </c>
      <c r="O93">
        <v>-99</v>
      </c>
      <c r="P93">
        <v>-99</v>
      </c>
      <c r="Q93">
        <v>-99</v>
      </c>
      <c r="R93">
        <v>-99</v>
      </c>
      <c r="S93">
        <v>-99</v>
      </c>
      <c r="T93">
        <v>334</v>
      </c>
      <c r="U93">
        <v>383</v>
      </c>
      <c r="V93">
        <v>479</v>
      </c>
      <c r="W93">
        <v>451</v>
      </c>
      <c r="X93">
        <v>-99</v>
      </c>
      <c r="Y93">
        <v>537</v>
      </c>
      <c r="Z93">
        <v>385</v>
      </c>
      <c r="AA93">
        <v>391</v>
      </c>
      <c r="AB93">
        <v>476</v>
      </c>
      <c r="AC93" t="s">
        <v>9</v>
      </c>
      <c r="AD93">
        <v>1586.8</v>
      </c>
      <c r="AE93">
        <v>-99</v>
      </c>
      <c r="AF93">
        <v>-99</v>
      </c>
      <c r="AG93">
        <v>1525</v>
      </c>
      <c r="BJ93">
        <f t="shared" si="8"/>
        <v>0</v>
      </c>
      <c r="BL93">
        <v>0</v>
      </c>
      <c r="BM93" t="s">
        <v>450</v>
      </c>
      <c r="BN93">
        <v>8</v>
      </c>
    </row>
    <row r="94" spans="1:66" x14ac:dyDescent="0.2">
      <c r="A94" t="s">
        <v>362</v>
      </c>
      <c r="B94" s="10" t="s">
        <v>248</v>
      </c>
      <c r="C94" s="3">
        <f t="shared" si="9"/>
        <v>156.1</v>
      </c>
      <c r="D94" t="s">
        <v>375</v>
      </c>
      <c r="E94">
        <v>6</v>
      </c>
      <c r="F94" t="s">
        <v>247</v>
      </c>
      <c r="G94" s="6" t="s">
        <v>7</v>
      </c>
      <c r="H94" t="s">
        <v>246</v>
      </c>
      <c r="I94" s="5">
        <v>1889</v>
      </c>
      <c r="J94" s="3">
        <v>1909</v>
      </c>
      <c r="K94">
        <v>-99</v>
      </c>
      <c r="L94">
        <v>-99</v>
      </c>
      <c r="M94" t="s">
        <v>609</v>
      </c>
      <c r="N94">
        <v>-99</v>
      </c>
      <c r="O94">
        <v>-99</v>
      </c>
      <c r="P94">
        <v>-99</v>
      </c>
      <c r="Q94">
        <v>-99</v>
      </c>
      <c r="R94">
        <v>-99</v>
      </c>
      <c r="S94">
        <v>-99</v>
      </c>
      <c r="T94">
        <v>-99</v>
      </c>
      <c r="U94">
        <v>-99</v>
      </c>
      <c r="V94">
        <v>-99</v>
      </c>
      <c r="W94">
        <v>-99</v>
      </c>
      <c r="X94">
        <v>-99</v>
      </c>
      <c r="Y94">
        <v>-99</v>
      </c>
      <c r="Z94" s="3">
        <v>-99</v>
      </c>
      <c r="AA94" s="3">
        <v>-99</v>
      </c>
      <c r="AB94" s="3">
        <v>-99</v>
      </c>
      <c r="AC94" t="s">
        <v>9</v>
      </c>
      <c r="AD94">
        <v>1011.6</v>
      </c>
      <c r="AE94">
        <v>-99</v>
      </c>
      <c r="AF94">
        <v>-99</v>
      </c>
      <c r="AG94">
        <v>1012</v>
      </c>
      <c r="BJ94">
        <f t="shared" si="8"/>
        <v>0</v>
      </c>
      <c r="BL94">
        <v>0</v>
      </c>
      <c r="BM94" t="s">
        <v>468</v>
      </c>
      <c r="BN94">
        <v>6</v>
      </c>
    </row>
    <row r="95" spans="1:66" x14ac:dyDescent="0.2">
      <c r="A95" t="s">
        <v>363</v>
      </c>
      <c r="B95" s="10" t="s">
        <v>249</v>
      </c>
      <c r="C95" s="3">
        <f t="shared" si="9"/>
        <v>156.19999999999999</v>
      </c>
      <c r="D95" t="s">
        <v>375</v>
      </c>
      <c r="E95">
        <v>6</v>
      </c>
      <c r="F95" t="s">
        <v>250</v>
      </c>
      <c r="G95" s="6" t="s">
        <v>7</v>
      </c>
      <c r="H95" t="s">
        <v>246</v>
      </c>
      <c r="I95" s="5">
        <v>1889</v>
      </c>
      <c r="J95" s="3">
        <v>1909</v>
      </c>
      <c r="K95">
        <v>-99</v>
      </c>
      <c r="L95">
        <v>-99</v>
      </c>
      <c r="M95" t="s">
        <v>609</v>
      </c>
      <c r="N95">
        <v>-99</v>
      </c>
      <c r="O95">
        <v>-99</v>
      </c>
      <c r="P95">
        <v>-99</v>
      </c>
      <c r="Q95">
        <v>-99</v>
      </c>
      <c r="R95">
        <v>-99</v>
      </c>
      <c r="S95">
        <v>-99</v>
      </c>
      <c r="T95">
        <v>-99</v>
      </c>
      <c r="U95">
        <v>-99</v>
      </c>
      <c r="V95">
        <v>-99</v>
      </c>
      <c r="W95">
        <v>-99</v>
      </c>
      <c r="X95">
        <v>-99</v>
      </c>
      <c r="Y95">
        <v>-99</v>
      </c>
      <c r="Z95" s="3">
        <v>-99</v>
      </c>
      <c r="AA95" s="3">
        <v>-99</v>
      </c>
      <c r="AB95" s="3">
        <v>-99</v>
      </c>
      <c r="AC95" t="s">
        <v>9</v>
      </c>
      <c r="AD95">
        <v>191.5</v>
      </c>
      <c r="AE95">
        <v>-99</v>
      </c>
      <c r="AF95">
        <v>-99</v>
      </c>
      <c r="AG95">
        <v>204</v>
      </c>
      <c r="BJ95">
        <f t="shared" si="8"/>
        <v>0</v>
      </c>
      <c r="BL95">
        <v>0</v>
      </c>
      <c r="BM95" t="s">
        <v>468</v>
      </c>
      <c r="BN95">
        <v>6</v>
      </c>
    </row>
    <row r="96" spans="1:66" x14ac:dyDescent="0.2">
      <c r="A96" t="s">
        <v>364</v>
      </c>
      <c r="B96" s="10" t="s">
        <v>251</v>
      </c>
      <c r="C96" s="3">
        <f t="shared" si="9"/>
        <v>156.30000000000001</v>
      </c>
      <c r="D96" t="s">
        <v>375</v>
      </c>
      <c r="E96">
        <v>6</v>
      </c>
      <c r="F96" t="s">
        <v>252</v>
      </c>
      <c r="G96" s="6" t="s">
        <v>7</v>
      </c>
      <c r="H96" t="s">
        <v>246</v>
      </c>
      <c r="I96" s="5">
        <v>1889</v>
      </c>
      <c r="J96" s="3">
        <v>1909</v>
      </c>
      <c r="K96">
        <v>-99</v>
      </c>
      <c r="L96">
        <v>-99</v>
      </c>
      <c r="M96" t="s">
        <v>609</v>
      </c>
      <c r="N96">
        <v>-99</v>
      </c>
      <c r="O96">
        <v>-99</v>
      </c>
      <c r="P96">
        <v>-99</v>
      </c>
      <c r="Q96">
        <v>-99</v>
      </c>
      <c r="R96">
        <v>-99</v>
      </c>
      <c r="S96">
        <v>-99</v>
      </c>
      <c r="T96">
        <v>-99</v>
      </c>
      <c r="U96">
        <v>-99</v>
      </c>
      <c r="V96">
        <v>-99</v>
      </c>
      <c r="W96">
        <v>-99</v>
      </c>
      <c r="X96">
        <v>-99</v>
      </c>
      <c r="Y96">
        <v>-99</v>
      </c>
      <c r="Z96" s="3">
        <v>-99</v>
      </c>
      <c r="AA96" s="3">
        <v>-99</v>
      </c>
      <c r="AB96" s="3">
        <v>-99</v>
      </c>
      <c r="AC96" t="s">
        <v>9</v>
      </c>
      <c r="AE96">
        <v>-99</v>
      </c>
      <c r="AF96">
        <v>-99</v>
      </c>
      <c r="AG96">
        <v>60</v>
      </c>
      <c r="BJ96">
        <f t="shared" si="8"/>
        <v>0</v>
      </c>
      <c r="BL96">
        <v>0</v>
      </c>
      <c r="BM96" t="s">
        <v>468</v>
      </c>
      <c r="BN96">
        <v>6</v>
      </c>
    </row>
    <row r="97" spans="1:66" x14ac:dyDescent="0.2">
      <c r="A97" t="s">
        <v>365</v>
      </c>
      <c r="B97" s="10">
        <v>157</v>
      </c>
      <c r="C97" s="3">
        <f t="shared" si="9"/>
        <v>157</v>
      </c>
      <c r="D97" t="s">
        <v>375</v>
      </c>
      <c r="E97">
        <v>6</v>
      </c>
      <c r="F97" t="s">
        <v>253</v>
      </c>
      <c r="G97" s="6" t="s">
        <v>7</v>
      </c>
      <c r="H97" t="s">
        <v>246</v>
      </c>
      <c r="I97" s="5">
        <v>1889</v>
      </c>
      <c r="J97" s="3">
        <v>1909</v>
      </c>
      <c r="K97">
        <v>1889</v>
      </c>
      <c r="L97">
        <v>232</v>
      </c>
      <c r="M97" t="s">
        <v>609</v>
      </c>
      <c r="N97">
        <v>-99</v>
      </c>
      <c r="O97">
        <v>-99</v>
      </c>
      <c r="P97">
        <v>-99</v>
      </c>
      <c r="Q97">
        <v>-99</v>
      </c>
      <c r="R97">
        <v>-99</v>
      </c>
      <c r="S97">
        <v>-99</v>
      </c>
      <c r="T97">
        <v>-99</v>
      </c>
      <c r="U97">
        <v>-99</v>
      </c>
      <c r="V97">
        <v>-99</v>
      </c>
      <c r="W97">
        <v>-99</v>
      </c>
      <c r="X97">
        <v>-99</v>
      </c>
      <c r="Y97">
        <v>-99</v>
      </c>
      <c r="Z97">
        <v>241</v>
      </c>
      <c r="AA97">
        <v>211</v>
      </c>
      <c r="AB97">
        <v>260</v>
      </c>
      <c r="AC97" t="s">
        <v>9</v>
      </c>
      <c r="AD97">
        <v>621</v>
      </c>
      <c r="AE97">
        <v>-99</v>
      </c>
      <c r="AF97">
        <v>-99</v>
      </c>
      <c r="AG97">
        <v>621</v>
      </c>
      <c r="BJ97">
        <f t="shared" ref="BJ97:BJ128" si="11">SUM(AH97:BI97)</f>
        <v>0</v>
      </c>
      <c r="BL97">
        <v>0</v>
      </c>
      <c r="BM97" t="s">
        <v>468</v>
      </c>
      <c r="BN97">
        <v>8</v>
      </c>
    </row>
    <row r="98" spans="1:66" x14ac:dyDescent="0.2">
      <c r="A98" t="s">
        <v>366</v>
      </c>
      <c r="B98" s="10" t="s">
        <v>254</v>
      </c>
      <c r="C98" s="3">
        <f t="shared" ref="C98:C129" si="12">IF(ISNUMBER(B98), B98, VALUE(LEFT(B98, LEN(B98)-1)) + (CODE(RIGHT(B98,1))-64)/10)</f>
        <v>157.1</v>
      </c>
      <c r="D98" t="s">
        <v>375</v>
      </c>
      <c r="E98">
        <v>6</v>
      </c>
      <c r="F98" t="s">
        <v>253</v>
      </c>
      <c r="G98" s="6" t="s">
        <v>7</v>
      </c>
      <c r="H98" t="s">
        <v>246</v>
      </c>
      <c r="I98" s="5">
        <v>1889</v>
      </c>
      <c r="J98" s="3">
        <v>1909</v>
      </c>
      <c r="K98">
        <v>-99</v>
      </c>
      <c r="L98">
        <v>-99</v>
      </c>
      <c r="M98" t="s">
        <v>609</v>
      </c>
      <c r="N98">
        <v>-99</v>
      </c>
      <c r="O98">
        <v>-99</v>
      </c>
      <c r="P98">
        <v>-99</v>
      </c>
      <c r="Q98">
        <v>-99</v>
      </c>
      <c r="R98">
        <v>-99</v>
      </c>
      <c r="S98">
        <v>-99</v>
      </c>
      <c r="T98">
        <v>-99</v>
      </c>
      <c r="U98">
        <v>-99</v>
      </c>
      <c r="V98">
        <v>-99</v>
      </c>
      <c r="W98">
        <v>-99</v>
      </c>
      <c r="X98">
        <v>-99</v>
      </c>
      <c r="Y98">
        <v>-99</v>
      </c>
      <c r="Z98" s="3">
        <v>-99</v>
      </c>
      <c r="AA98" s="3">
        <v>-99</v>
      </c>
      <c r="AB98" s="3">
        <v>-99</v>
      </c>
      <c r="AC98" t="s">
        <v>9</v>
      </c>
      <c r="AD98">
        <v>9.4</v>
      </c>
      <c r="AE98">
        <v>-99</v>
      </c>
      <c r="AF98">
        <v>-99</v>
      </c>
      <c r="AG98">
        <v>9.4</v>
      </c>
      <c r="BJ98">
        <f t="shared" si="11"/>
        <v>0</v>
      </c>
      <c r="BL98">
        <v>0</v>
      </c>
      <c r="BM98" t="s">
        <v>468</v>
      </c>
      <c r="BN98">
        <v>6</v>
      </c>
    </row>
    <row r="99" spans="1:66" x14ac:dyDescent="0.2">
      <c r="A99" t="s">
        <v>367</v>
      </c>
      <c r="B99" s="10" t="s">
        <v>255</v>
      </c>
      <c r="C99" s="3">
        <f t="shared" si="12"/>
        <v>157.19999999999999</v>
      </c>
      <c r="D99" t="s">
        <v>375</v>
      </c>
      <c r="E99">
        <v>6</v>
      </c>
      <c r="F99" t="s">
        <v>256</v>
      </c>
      <c r="G99" s="6" t="s">
        <v>7</v>
      </c>
      <c r="H99" t="s">
        <v>246</v>
      </c>
      <c r="I99" s="5">
        <v>1889</v>
      </c>
      <c r="J99" s="3">
        <v>1909</v>
      </c>
      <c r="K99">
        <v>-99</v>
      </c>
      <c r="L99">
        <v>-99</v>
      </c>
      <c r="M99" t="s">
        <v>609</v>
      </c>
      <c r="N99">
        <v>-99</v>
      </c>
      <c r="O99">
        <v>-99</v>
      </c>
      <c r="P99">
        <v>-99</v>
      </c>
      <c r="Q99">
        <v>-99</v>
      </c>
      <c r="R99">
        <v>-99</v>
      </c>
      <c r="S99">
        <v>-99</v>
      </c>
      <c r="T99">
        <v>-99</v>
      </c>
      <c r="U99">
        <v>-99</v>
      </c>
      <c r="V99">
        <v>-99</v>
      </c>
      <c r="W99">
        <v>-99</v>
      </c>
      <c r="X99">
        <v>-99</v>
      </c>
      <c r="Y99">
        <v>-99</v>
      </c>
      <c r="Z99" s="3">
        <v>-99</v>
      </c>
      <c r="AA99" s="3">
        <v>-99</v>
      </c>
      <c r="AB99" s="3">
        <v>-99</v>
      </c>
      <c r="AC99" t="s">
        <v>9</v>
      </c>
      <c r="AD99">
        <v>13.4</v>
      </c>
      <c r="AE99">
        <v>-99</v>
      </c>
      <c r="AF99">
        <v>-99</v>
      </c>
      <c r="AG99">
        <v>13.4</v>
      </c>
      <c r="BJ99">
        <f t="shared" si="11"/>
        <v>0</v>
      </c>
      <c r="BL99">
        <v>0</v>
      </c>
      <c r="BM99" t="s">
        <v>468</v>
      </c>
      <c r="BN99">
        <v>6</v>
      </c>
    </row>
    <row r="100" spans="1:66" x14ac:dyDescent="0.2">
      <c r="A100" t="s">
        <v>368</v>
      </c>
      <c r="B100" s="10" t="s">
        <v>257</v>
      </c>
      <c r="C100" s="3">
        <f t="shared" si="12"/>
        <v>157.30000000000001</v>
      </c>
      <c r="D100" t="s">
        <v>375</v>
      </c>
      <c r="E100">
        <v>6</v>
      </c>
      <c r="F100" t="s">
        <v>258</v>
      </c>
      <c r="G100" s="6" t="s">
        <v>7</v>
      </c>
      <c r="H100" t="s">
        <v>246</v>
      </c>
      <c r="I100" s="5">
        <v>1889</v>
      </c>
      <c r="J100" s="3">
        <v>1909</v>
      </c>
      <c r="K100">
        <v>-99</v>
      </c>
      <c r="L100">
        <v>-99</v>
      </c>
      <c r="M100" t="s">
        <v>609</v>
      </c>
      <c r="N100">
        <v>-99</v>
      </c>
      <c r="O100">
        <v>-99</v>
      </c>
      <c r="P100">
        <v>-99</v>
      </c>
      <c r="Q100">
        <v>-99</v>
      </c>
      <c r="R100">
        <v>-99</v>
      </c>
      <c r="S100">
        <v>-99</v>
      </c>
      <c r="T100">
        <v>-99</v>
      </c>
      <c r="U100">
        <v>-99</v>
      </c>
      <c r="V100">
        <v>-99</v>
      </c>
      <c r="W100">
        <v>-99</v>
      </c>
      <c r="X100">
        <v>-99</v>
      </c>
      <c r="Y100">
        <v>-99</v>
      </c>
      <c r="Z100" s="3">
        <v>-99</v>
      </c>
      <c r="AA100" s="3">
        <v>-99</v>
      </c>
      <c r="AB100" s="3">
        <v>-99</v>
      </c>
      <c r="AC100" t="s">
        <v>9</v>
      </c>
      <c r="AD100">
        <v>5</v>
      </c>
      <c r="AE100">
        <v>-99</v>
      </c>
      <c r="AF100">
        <v>-99</v>
      </c>
      <c r="AG100">
        <v>5</v>
      </c>
      <c r="BJ100">
        <f t="shared" si="11"/>
        <v>0</v>
      </c>
      <c r="BL100">
        <v>0</v>
      </c>
      <c r="BM100" t="s">
        <v>468</v>
      </c>
      <c r="BN100">
        <v>6</v>
      </c>
    </row>
    <row r="101" spans="1:66" x14ac:dyDescent="0.2">
      <c r="A101" t="s">
        <v>369</v>
      </c>
      <c r="B101" s="10" t="s">
        <v>259</v>
      </c>
      <c r="C101" s="3">
        <f t="shared" si="12"/>
        <v>157.4</v>
      </c>
      <c r="D101" t="s">
        <v>375</v>
      </c>
      <c r="E101">
        <v>6</v>
      </c>
      <c r="F101" t="s">
        <v>260</v>
      </c>
      <c r="G101" s="6" t="s">
        <v>7</v>
      </c>
      <c r="H101" t="s">
        <v>246</v>
      </c>
      <c r="I101" s="5">
        <v>1889</v>
      </c>
      <c r="J101" s="3">
        <v>1909</v>
      </c>
      <c r="K101">
        <v>-99</v>
      </c>
      <c r="L101">
        <v>-99</v>
      </c>
      <c r="M101" t="s">
        <v>609</v>
      </c>
      <c r="N101">
        <v>-99</v>
      </c>
      <c r="O101">
        <v>-99</v>
      </c>
      <c r="P101">
        <v>-99</v>
      </c>
      <c r="Q101">
        <v>-99</v>
      </c>
      <c r="R101">
        <v>-99</v>
      </c>
      <c r="S101">
        <v>-99</v>
      </c>
      <c r="T101">
        <v>-99</v>
      </c>
      <c r="U101">
        <v>-99</v>
      </c>
      <c r="V101">
        <v>-99</v>
      </c>
      <c r="W101">
        <v>-99</v>
      </c>
      <c r="X101">
        <v>-99</v>
      </c>
      <c r="Y101">
        <v>-99</v>
      </c>
      <c r="Z101" s="3">
        <v>-99</v>
      </c>
      <c r="AA101" s="3">
        <v>-99</v>
      </c>
      <c r="AB101" s="3">
        <v>-99</v>
      </c>
      <c r="AC101" t="s">
        <v>9</v>
      </c>
      <c r="AD101">
        <v>140</v>
      </c>
      <c r="AE101">
        <v>-99</v>
      </c>
      <c r="AF101">
        <v>-99</v>
      </c>
      <c r="AG101">
        <v>140</v>
      </c>
      <c r="BJ101">
        <f t="shared" si="11"/>
        <v>0</v>
      </c>
      <c r="BL101">
        <v>0</v>
      </c>
      <c r="BM101" t="s">
        <v>468</v>
      </c>
      <c r="BN101">
        <v>6</v>
      </c>
    </row>
    <row r="102" spans="1:66" x14ac:dyDescent="0.2">
      <c r="A102" t="s">
        <v>370</v>
      </c>
      <c r="B102" s="10" t="s">
        <v>261</v>
      </c>
      <c r="C102" s="3">
        <f t="shared" si="12"/>
        <v>157.5</v>
      </c>
      <c r="D102" t="s">
        <v>375</v>
      </c>
      <c r="E102">
        <v>6</v>
      </c>
      <c r="F102" t="s">
        <v>260</v>
      </c>
      <c r="G102" s="6" t="s">
        <v>7</v>
      </c>
      <c r="H102" t="s">
        <v>246</v>
      </c>
      <c r="I102" s="5">
        <v>1889</v>
      </c>
      <c r="J102" s="3">
        <v>1909</v>
      </c>
      <c r="K102">
        <v>-99</v>
      </c>
      <c r="L102">
        <v>-99</v>
      </c>
      <c r="M102" t="s">
        <v>609</v>
      </c>
      <c r="N102">
        <v>-99</v>
      </c>
      <c r="O102">
        <v>-99</v>
      </c>
      <c r="P102">
        <v>-99</v>
      </c>
      <c r="Q102">
        <v>-99</v>
      </c>
      <c r="R102">
        <v>-99</v>
      </c>
      <c r="S102">
        <v>-99</v>
      </c>
      <c r="T102">
        <v>-99</v>
      </c>
      <c r="U102">
        <v>-99</v>
      </c>
      <c r="V102">
        <v>-99</v>
      </c>
      <c r="W102">
        <v>-99</v>
      </c>
      <c r="X102">
        <v>-99</v>
      </c>
      <c r="Y102">
        <v>-99</v>
      </c>
      <c r="Z102" s="3">
        <v>-99</v>
      </c>
      <c r="AA102" s="3">
        <v>-99</v>
      </c>
      <c r="AB102" s="3">
        <v>-99</v>
      </c>
      <c r="AC102" t="s">
        <v>9</v>
      </c>
      <c r="AD102">
        <v>10.3</v>
      </c>
      <c r="AE102">
        <v>-99</v>
      </c>
      <c r="AF102">
        <v>-99</v>
      </c>
      <c r="AG102">
        <v>10.3</v>
      </c>
      <c r="BJ102">
        <f t="shared" si="11"/>
        <v>0</v>
      </c>
      <c r="BL102">
        <v>0</v>
      </c>
      <c r="BM102" t="s">
        <v>468</v>
      </c>
      <c r="BN102">
        <v>6</v>
      </c>
    </row>
    <row r="103" spans="1:66" x14ac:dyDescent="0.2">
      <c r="A103" t="s">
        <v>371</v>
      </c>
      <c r="B103" s="10">
        <v>158</v>
      </c>
      <c r="C103" s="3">
        <f t="shared" si="12"/>
        <v>158</v>
      </c>
      <c r="D103" t="s">
        <v>375</v>
      </c>
      <c r="E103">
        <v>6</v>
      </c>
      <c r="F103" t="s">
        <v>262</v>
      </c>
      <c r="G103" s="6" t="s">
        <v>7</v>
      </c>
      <c r="H103" t="s">
        <v>246</v>
      </c>
      <c r="I103" s="5">
        <v>1889</v>
      </c>
      <c r="J103" s="3">
        <v>1909</v>
      </c>
      <c r="K103">
        <v>-99</v>
      </c>
      <c r="L103">
        <v>-99</v>
      </c>
      <c r="M103" t="s">
        <v>609</v>
      </c>
      <c r="N103">
        <v>-99</v>
      </c>
      <c r="O103">
        <v>-99</v>
      </c>
      <c r="P103">
        <v>-99</v>
      </c>
      <c r="Q103">
        <v>-99</v>
      </c>
      <c r="R103">
        <v>-99</v>
      </c>
      <c r="S103">
        <v>-99</v>
      </c>
      <c r="T103">
        <v>-99</v>
      </c>
      <c r="U103">
        <v>-99</v>
      </c>
      <c r="V103">
        <v>-99</v>
      </c>
      <c r="W103">
        <v>-99</v>
      </c>
      <c r="X103">
        <v>-99</v>
      </c>
      <c r="Y103">
        <v>-99</v>
      </c>
      <c r="Z103" s="3">
        <v>-99</v>
      </c>
      <c r="AA103" s="3">
        <v>-99</v>
      </c>
      <c r="AB103" s="3">
        <v>-99</v>
      </c>
      <c r="AC103" t="s">
        <v>9</v>
      </c>
      <c r="AD103">
        <v>1278</v>
      </c>
      <c r="AE103">
        <v>-99</v>
      </c>
      <c r="AF103">
        <v>-99</v>
      </c>
      <c r="AG103">
        <v>1278</v>
      </c>
      <c r="BJ103">
        <f t="shared" si="11"/>
        <v>0</v>
      </c>
      <c r="BL103">
        <v>0</v>
      </c>
      <c r="BM103" t="s">
        <v>468</v>
      </c>
      <c r="BN103">
        <v>6</v>
      </c>
    </row>
    <row r="104" spans="1:66" x14ac:dyDescent="0.2">
      <c r="A104" t="s">
        <v>372</v>
      </c>
      <c r="B104" s="10" t="s">
        <v>263</v>
      </c>
      <c r="C104" s="3">
        <f t="shared" si="12"/>
        <v>158.1</v>
      </c>
      <c r="D104" t="s">
        <v>375</v>
      </c>
      <c r="E104">
        <v>6</v>
      </c>
      <c r="F104" t="s">
        <v>262</v>
      </c>
      <c r="G104" s="6" t="s">
        <v>7</v>
      </c>
      <c r="H104" t="s">
        <v>246</v>
      </c>
      <c r="I104" s="5">
        <v>1889</v>
      </c>
      <c r="J104" s="3">
        <v>1909</v>
      </c>
      <c r="K104">
        <v>-99</v>
      </c>
      <c r="L104">
        <v>-99</v>
      </c>
      <c r="M104" t="s">
        <v>609</v>
      </c>
      <c r="N104">
        <v>-99</v>
      </c>
      <c r="O104">
        <v>-99</v>
      </c>
      <c r="P104">
        <v>-99</v>
      </c>
      <c r="Q104">
        <v>-99</v>
      </c>
      <c r="R104">
        <v>-99</v>
      </c>
      <c r="S104">
        <v>-99</v>
      </c>
      <c r="T104">
        <v>-99</v>
      </c>
      <c r="U104">
        <v>-99</v>
      </c>
      <c r="V104">
        <v>-99</v>
      </c>
      <c r="W104">
        <v>-99</v>
      </c>
      <c r="X104">
        <v>-99</v>
      </c>
      <c r="Y104">
        <v>-99</v>
      </c>
      <c r="Z104" s="3">
        <v>-99</v>
      </c>
      <c r="AA104" s="3">
        <v>-99</v>
      </c>
      <c r="AB104" s="3">
        <v>-99</v>
      </c>
      <c r="AC104" t="s">
        <v>9</v>
      </c>
      <c r="AD104">
        <v>94.65</v>
      </c>
      <c r="AE104">
        <v>-99</v>
      </c>
      <c r="AF104">
        <v>-99</v>
      </c>
      <c r="AG104">
        <v>94.7</v>
      </c>
      <c r="BJ104">
        <f t="shared" si="11"/>
        <v>0</v>
      </c>
      <c r="BL104">
        <v>0</v>
      </c>
      <c r="BM104" t="s">
        <v>468</v>
      </c>
      <c r="BN104">
        <v>6</v>
      </c>
    </row>
    <row r="105" spans="1:66" x14ac:dyDescent="0.2">
      <c r="A105" t="s">
        <v>373</v>
      </c>
      <c r="B105" s="10" t="s">
        <v>264</v>
      </c>
      <c r="C105" s="3">
        <f t="shared" si="12"/>
        <v>158.19999999999999</v>
      </c>
      <c r="D105" t="s">
        <v>375</v>
      </c>
      <c r="E105">
        <v>6</v>
      </c>
      <c r="F105" t="s">
        <v>262</v>
      </c>
      <c r="G105" s="6" t="s">
        <v>7</v>
      </c>
      <c r="H105" t="s">
        <v>246</v>
      </c>
      <c r="I105" s="5">
        <v>1889</v>
      </c>
      <c r="J105" s="3">
        <v>1909</v>
      </c>
      <c r="K105">
        <v>-99</v>
      </c>
      <c r="L105">
        <v>-99</v>
      </c>
      <c r="M105" t="s">
        <v>609</v>
      </c>
      <c r="N105">
        <v>-99</v>
      </c>
      <c r="O105">
        <v>-99</v>
      </c>
      <c r="P105">
        <v>-99</v>
      </c>
      <c r="Q105">
        <v>-99</v>
      </c>
      <c r="R105">
        <v>-99</v>
      </c>
      <c r="S105">
        <v>-99</v>
      </c>
      <c r="T105">
        <v>-99</v>
      </c>
      <c r="U105">
        <v>-99</v>
      </c>
      <c r="V105">
        <v>-99</v>
      </c>
      <c r="W105">
        <v>-99</v>
      </c>
      <c r="X105">
        <v>-99</v>
      </c>
      <c r="Y105">
        <v>-99</v>
      </c>
      <c r="Z105" s="3">
        <v>-99</v>
      </c>
      <c r="AA105" s="3">
        <v>-99</v>
      </c>
      <c r="AB105" s="3">
        <v>-99</v>
      </c>
      <c r="AC105" t="s">
        <v>9</v>
      </c>
      <c r="AD105">
        <v>324</v>
      </c>
      <c r="AE105">
        <v>-99</v>
      </c>
      <c r="AF105">
        <v>-99</v>
      </c>
      <c r="AG105">
        <v>324</v>
      </c>
      <c r="BJ105">
        <f t="shared" si="11"/>
        <v>0</v>
      </c>
      <c r="BL105">
        <v>0</v>
      </c>
      <c r="BM105" t="s">
        <v>468</v>
      </c>
      <c r="BN105">
        <v>6</v>
      </c>
    </row>
    <row r="106" spans="1:66" x14ac:dyDescent="0.2">
      <c r="A106" t="s">
        <v>415</v>
      </c>
      <c r="B106" s="10">
        <v>159</v>
      </c>
      <c r="C106" s="3">
        <f t="shared" si="12"/>
        <v>159</v>
      </c>
      <c r="D106" t="s">
        <v>374</v>
      </c>
      <c r="E106">
        <v>6</v>
      </c>
      <c r="F106" t="s">
        <v>265</v>
      </c>
      <c r="G106" s="6" t="s">
        <v>7</v>
      </c>
      <c r="H106" t="s">
        <v>266</v>
      </c>
      <c r="I106" s="5">
        <v>1954</v>
      </c>
      <c r="J106" s="3">
        <v>1910</v>
      </c>
      <c r="K106">
        <v>1881</v>
      </c>
      <c r="L106">
        <v>293</v>
      </c>
      <c r="M106" t="s">
        <v>609</v>
      </c>
      <c r="N106">
        <v>-99</v>
      </c>
      <c r="O106">
        <v>-99</v>
      </c>
      <c r="P106">
        <v>-99</v>
      </c>
      <c r="Q106">
        <v>-99</v>
      </c>
      <c r="R106">
        <v>-99</v>
      </c>
      <c r="S106">
        <v>-99</v>
      </c>
      <c r="T106">
        <v>-99</v>
      </c>
      <c r="U106">
        <v>-99</v>
      </c>
      <c r="V106">
        <v>-99</v>
      </c>
      <c r="W106">
        <v>-99</v>
      </c>
      <c r="X106">
        <v>-99</v>
      </c>
      <c r="Y106">
        <v>-99</v>
      </c>
      <c r="Z106">
        <v>-99</v>
      </c>
      <c r="AA106" s="3">
        <f>50+50</f>
        <v>100</v>
      </c>
      <c r="AB106" s="3">
        <v>95</v>
      </c>
      <c r="AC106" t="s">
        <v>13</v>
      </c>
      <c r="AE106">
        <v>-99</v>
      </c>
      <c r="AF106">
        <v>9014.7000000000007</v>
      </c>
      <c r="AG106">
        <v>10030</v>
      </c>
      <c r="BJ106">
        <f t="shared" si="11"/>
        <v>0</v>
      </c>
      <c r="BL106">
        <v>0</v>
      </c>
      <c r="BM106" t="s">
        <v>351</v>
      </c>
      <c r="BN106">
        <v>7</v>
      </c>
    </row>
    <row r="107" spans="1:66" x14ac:dyDescent="0.2">
      <c r="A107" t="s">
        <v>454</v>
      </c>
      <c r="B107" s="10">
        <v>160</v>
      </c>
      <c r="C107" s="3">
        <f t="shared" si="12"/>
        <v>160</v>
      </c>
      <c r="D107" t="s">
        <v>5</v>
      </c>
      <c r="E107">
        <v>4</v>
      </c>
      <c r="F107" t="s">
        <v>11</v>
      </c>
      <c r="G107" t="s">
        <v>7</v>
      </c>
      <c r="H107" t="s">
        <v>173</v>
      </c>
      <c r="I107" s="5">
        <v>-99</v>
      </c>
      <c r="J107" s="3">
        <v>1910</v>
      </c>
      <c r="K107">
        <v>1876</v>
      </c>
      <c r="L107">
        <v>1000</v>
      </c>
      <c r="M107" t="s">
        <v>609</v>
      </c>
      <c r="N107">
        <v>-99</v>
      </c>
      <c r="O107">
        <v>-99</v>
      </c>
      <c r="P107">
        <v>-99</v>
      </c>
      <c r="Q107">
        <v>-99</v>
      </c>
      <c r="R107">
        <v>-99</v>
      </c>
      <c r="S107">
        <v>-99</v>
      </c>
      <c r="T107">
        <v>-99</v>
      </c>
      <c r="U107">
        <v>-99</v>
      </c>
      <c r="V107">
        <v>-99</v>
      </c>
      <c r="W107">
        <v>-99</v>
      </c>
      <c r="X107" s="3">
        <v>-99</v>
      </c>
      <c r="Y107" s="3">
        <v>-99</v>
      </c>
      <c r="Z107" s="3" t="s">
        <v>482</v>
      </c>
      <c r="AA107">
        <f>50+15</f>
        <v>65</v>
      </c>
      <c r="AB107" s="3">
        <v>37</v>
      </c>
      <c r="AC107" t="s">
        <v>174</v>
      </c>
      <c r="AE107">
        <v>-99</v>
      </c>
      <c r="AF107">
        <v>10240</v>
      </c>
      <c r="AG107">
        <v>5920</v>
      </c>
      <c r="BB107">
        <v>4960</v>
      </c>
      <c r="BJ107">
        <f t="shared" si="11"/>
        <v>4960</v>
      </c>
      <c r="BL107">
        <v>0</v>
      </c>
      <c r="BM107" t="s">
        <v>483</v>
      </c>
      <c r="BN107">
        <v>9</v>
      </c>
    </row>
    <row r="108" spans="1:66" x14ac:dyDescent="0.2">
      <c r="A108" t="s">
        <v>489</v>
      </c>
      <c r="B108" s="10" t="s">
        <v>488</v>
      </c>
      <c r="C108" s="3">
        <f t="shared" si="12"/>
        <v>160.1</v>
      </c>
      <c r="D108" t="s">
        <v>5</v>
      </c>
      <c r="E108">
        <v>4</v>
      </c>
      <c r="F108" t="s">
        <v>490</v>
      </c>
      <c r="G108" t="s">
        <v>7</v>
      </c>
      <c r="H108" t="s">
        <v>491</v>
      </c>
      <c r="I108" s="1">
        <v>1874</v>
      </c>
      <c r="J108" s="3">
        <v>1913</v>
      </c>
      <c r="K108">
        <v>1874</v>
      </c>
      <c r="L108">
        <v>200</v>
      </c>
      <c r="M108" t="s">
        <v>609</v>
      </c>
      <c r="N108">
        <v>-99</v>
      </c>
      <c r="O108">
        <v>-99</v>
      </c>
      <c r="P108">
        <v>200</v>
      </c>
      <c r="Q108">
        <v>0</v>
      </c>
      <c r="R108">
        <v>220</v>
      </c>
      <c r="S108">
        <v>0</v>
      </c>
      <c r="T108">
        <v>180</v>
      </c>
      <c r="U108">
        <v>0</v>
      </c>
      <c r="V108">
        <v>83</v>
      </c>
      <c r="W108">
        <v>-99</v>
      </c>
      <c r="X108">
        <v>-99</v>
      </c>
      <c r="Y108">
        <v>-99</v>
      </c>
      <c r="Z108">
        <v>-99</v>
      </c>
      <c r="AA108">
        <v>65</v>
      </c>
      <c r="AB108">
        <v>71</v>
      </c>
      <c r="AC108" t="s">
        <v>9</v>
      </c>
      <c r="AD108">
        <v>1440</v>
      </c>
      <c r="AG108">
        <v>3040</v>
      </c>
      <c r="BJ108">
        <f t="shared" si="11"/>
        <v>0</v>
      </c>
      <c r="BM108" t="s">
        <v>492</v>
      </c>
      <c r="BN108">
        <v>7</v>
      </c>
    </row>
    <row r="109" spans="1:66" x14ac:dyDescent="0.2">
      <c r="A109" t="s">
        <v>416</v>
      </c>
      <c r="B109" s="10">
        <v>161</v>
      </c>
      <c r="C109" s="3">
        <f t="shared" si="12"/>
        <v>161</v>
      </c>
      <c r="D109" t="s">
        <v>374</v>
      </c>
      <c r="E109">
        <v>6</v>
      </c>
      <c r="F109" t="s">
        <v>267</v>
      </c>
      <c r="G109" s="6" t="s">
        <v>7</v>
      </c>
      <c r="H109" t="s">
        <v>268</v>
      </c>
      <c r="I109" s="5">
        <v>1876</v>
      </c>
      <c r="J109" s="3">
        <v>1910</v>
      </c>
      <c r="K109">
        <v>1903</v>
      </c>
      <c r="L109">
        <v>200</v>
      </c>
      <c r="M109" t="s">
        <v>609</v>
      </c>
      <c r="N109">
        <v>-99</v>
      </c>
      <c r="O109">
        <v>-99</v>
      </c>
      <c r="P109">
        <v>-99</v>
      </c>
      <c r="Q109">
        <v>-99</v>
      </c>
      <c r="R109">
        <v>-99</v>
      </c>
      <c r="S109">
        <v>-99</v>
      </c>
      <c r="T109">
        <v>-99</v>
      </c>
      <c r="U109">
        <v>-99</v>
      </c>
      <c r="V109">
        <v>-99</v>
      </c>
      <c r="W109">
        <v>-99</v>
      </c>
      <c r="X109">
        <v>-99</v>
      </c>
      <c r="Y109">
        <v>-99</v>
      </c>
      <c r="Z109">
        <v>187</v>
      </c>
      <c r="AA109" s="3">
        <f>50+47</f>
        <v>97</v>
      </c>
      <c r="AB109">
        <f>18+50+14</f>
        <v>82</v>
      </c>
      <c r="AC109" t="s">
        <v>9</v>
      </c>
      <c r="AE109">
        <v>-99</v>
      </c>
      <c r="AF109">
        <v>26496</v>
      </c>
      <c r="AG109">
        <v>10071</v>
      </c>
      <c r="BJ109">
        <f t="shared" si="11"/>
        <v>0</v>
      </c>
      <c r="BL109">
        <v>0</v>
      </c>
      <c r="BM109" t="s">
        <v>353</v>
      </c>
      <c r="BN109">
        <v>8</v>
      </c>
    </row>
    <row r="110" spans="1:66" x14ac:dyDescent="0.2">
      <c r="A110" t="s">
        <v>417</v>
      </c>
      <c r="B110" s="10" t="s">
        <v>269</v>
      </c>
      <c r="C110" s="3">
        <f t="shared" si="12"/>
        <v>161.1</v>
      </c>
      <c r="D110" t="s">
        <v>374</v>
      </c>
      <c r="E110">
        <v>6</v>
      </c>
      <c r="F110" t="s">
        <v>270</v>
      </c>
      <c r="G110" s="6" t="s">
        <v>7</v>
      </c>
      <c r="H110" t="s">
        <v>268</v>
      </c>
      <c r="I110" s="5">
        <v>1876</v>
      </c>
      <c r="J110" s="3">
        <v>1910</v>
      </c>
      <c r="K110">
        <v>1903</v>
      </c>
      <c r="L110">
        <v>-99</v>
      </c>
      <c r="M110" t="s">
        <v>609</v>
      </c>
      <c r="N110">
        <v>-99</v>
      </c>
      <c r="O110">
        <v>-99</v>
      </c>
      <c r="P110">
        <v>-99</v>
      </c>
      <c r="Q110">
        <v>-99</v>
      </c>
      <c r="R110">
        <v>-99</v>
      </c>
      <c r="S110">
        <v>-99</v>
      </c>
      <c r="T110">
        <v>-99</v>
      </c>
      <c r="U110">
        <v>-99</v>
      </c>
      <c r="V110">
        <v>-99</v>
      </c>
      <c r="W110">
        <v>-99</v>
      </c>
      <c r="X110">
        <v>-99</v>
      </c>
      <c r="Y110">
        <v>-99</v>
      </c>
      <c r="Z110">
        <v>-99</v>
      </c>
      <c r="AA110" s="3">
        <v>-99</v>
      </c>
      <c r="AB110" s="3">
        <v>-99</v>
      </c>
      <c r="AC110" t="s">
        <v>9</v>
      </c>
      <c r="AE110">
        <v>-99</v>
      </c>
      <c r="AF110">
        <v>6772</v>
      </c>
      <c r="AG110">
        <v>6848</v>
      </c>
      <c r="BJ110">
        <f t="shared" si="11"/>
        <v>0</v>
      </c>
      <c r="BL110">
        <v>0</v>
      </c>
      <c r="BM110" t="s">
        <v>352</v>
      </c>
      <c r="BN110">
        <v>8</v>
      </c>
    </row>
    <row r="111" spans="1:66" x14ac:dyDescent="0.2">
      <c r="A111" t="s">
        <v>425</v>
      </c>
      <c r="B111" s="10">
        <v>165</v>
      </c>
      <c r="C111" s="3">
        <f t="shared" si="12"/>
        <v>165</v>
      </c>
      <c r="D111" t="s">
        <v>424</v>
      </c>
      <c r="E111">
        <v>10</v>
      </c>
      <c r="F111" t="s">
        <v>271</v>
      </c>
      <c r="G111" s="6" t="s">
        <v>7</v>
      </c>
      <c r="H111" t="s">
        <v>272</v>
      </c>
      <c r="I111" s="5">
        <v>1906</v>
      </c>
      <c r="J111" s="3">
        <v>1912</v>
      </c>
      <c r="K111">
        <v>1907</v>
      </c>
      <c r="L111">
        <v>82</v>
      </c>
      <c r="M111" t="s">
        <v>609</v>
      </c>
      <c r="N111">
        <v>-99</v>
      </c>
      <c r="O111">
        <v>-99</v>
      </c>
      <c r="P111">
        <v>-99</v>
      </c>
      <c r="Q111">
        <v>-99</v>
      </c>
      <c r="R111">
        <v>-99</v>
      </c>
      <c r="S111">
        <v>-99</v>
      </c>
      <c r="T111">
        <v>-99</v>
      </c>
      <c r="U111">
        <v>-99</v>
      </c>
      <c r="V111">
        <v>-99</v>
      </c>
      <c r="W111">
        <v>-99</v>
      </c>
      <c r="X111">
        <v>-99</v>
      </c>
      <c r="Y111">
        <v>-99</v>
      </c>
      <c r="Z111">
        <v>89</v>
      </c>
      <c r="AA111" s="3">
        <f>50+50+7</f>
        <v>107</v>
      </c>
      <c r="AB111" s="3">
        <v>122</v>
      </c>
      <c r="AC111" t="s">
        <v>9</v>
      </c>
      <c r="AE111">
        <v>-99</v>
      </c>
      <c r="AF111">
        <v>6155</v>
      </c>
      <c r="AG111">
        <v>6155</v>
      </c>
      <c r="BJ111">
        <f t="shared" si="11"/>
        <v>0</v>
      </c>
      <c r="BL111">
        <v>0</v>
      </c>
      <c r="BM111" t="s">
        <v>356</v>
      </c>
      <c r="BN111">
        <v>9</v>
      </c>
    </row>
    <row r="112" spans="1:66" x14ac:dyDescent="0.2">
      <c r="A112" t="s">
        <v>426</v>
      </c>
      <c r="B112" s="10" t="s">
        <v>273</v>
      </c>
      <c r="C112" s="3">
        <f t="shared" si="12"/>
        <v>165.1</v>
      </c>
      <c r="D112" t="s">
        <v>424</v>
      </c>
      <c r="E112">
        <v>10</v>
      </c>
      <c r="F112" t="s">
        <v>271</v>
      </c>
      <c r="G112" s="6" t="s">
        <v>7</v>
      </c>
      <c r="H112" t="s">
        <v>272</v>
      </c>
      <c r="I112" s="5">
        <v>1906</v>
      </c>
      <c r="J112" s="3">
        <v>1912</v>
      </c>
      <c r="K112">
        <v>-99</v>
      </c>
      <c r="L112">
        <v>-99</v>
      </c>
      <c r="M112" t="s">
        <v>609</v>
      </c>
      <c r="N112" s="3">
        <v>-99</v>
      </c>
      <c r="O112" s="3">
        <v>-99</v>
      </c>
      <c r="P112" s="3">
        <v>-99</v>
      </c>
      <c r="Q112" s="3">
        <v>-99</v>
      </c>
      <c r="R112" s="3">
        <v>-99</v>
      </c>
      <c r="S112" s="3">
        <v>-99</v>
      </c>
      <c r="T112" s="3">
        <v>-99</v>
      </c>
      <c r="U112" s="3">
        <v>-99</v>
      </c>
      <c r="V112" s="3">
        <v>-99</v>
      </c>
      <c r="W112" s="3">
        <v>-99</v>
      </c>
      <c r="X112" s="3">
        <v>-99</v>
      </c>
      <c r="Y112" s="3">
        <v>-99</v>
      </c>
      <c r="Z112" s="3">
        <v>-99</v>
      </c>
      <c r="AA112" s="3">
        <v>-99</v>
      </c>
      <c r="AB112" s="3">
        <v>-99</v>
      </c>
      <c r="AC112" t="s">
        <v>9</v>
      </c>
      <c r="AE112">
        <v>-99</v>
      </c>
      <c r="AF112">
        <v>2935</v>
      </c>
      <c r="AG112">
        <v>2898</v>
      </c>
      <c r="BJ112">
        <f t="shared" si="11"/>
        <v>0</v>
      </c>
      <c r="BL112">
        <v>0</v>
      </c>
      <c r="BM112" t="s">
        <v>355</v>
      </c>
      <c r="BN112">
        <v>9</v>
      </c>
    </row>
    <row r="113" spans="1:66" x14ac:dyDescent="0.2">
      <c r="A113" t="s">
        <v>427</v>
      </c>
      <c r="B113" s="10" t="s">
        <v>274</v>
      </c>
      <c r="C113" s="3">
        <f t="shared" si="12"/>
        <v>165.2</v>
      </c>
      <c r="D113" t="s">
        <v>424</v>
      </c>
      <c r="E113">
        <v>10</v>
      </c>
      <c r="F113" t="s">
        <v>271</v>
      </c>
      <c r="G113" s="6" t="s">
        <v>7</v>
      </c>
      <c r="H113" t="s">
        <v>272</v>
      </c>
      <c r="I113" s="5">
        <v>1906</v>
      </c>
      <c r="J113" s="3">
        <v>1912</v>
      </c>
      <c r="K113">
        <v>-99</v>
      </c>
      <c r="L113">
        <v>-99</v>
      </c>
      <c r="M113" t="s">
        <v>609</v>
      </c>
      <c r="N113" s="3">
        <v>-99</v>
      </c>
      <c r="O113" s="3">
        <v>-99</v>
      </c>
      <c r="P113" s="3">
        <v>-99</v>
      </c>
      <c r="Q113" s="3">
        <v>-99</v>
      </c>
      <c r="R113" s="3">
        <v>-99</v>
      </c>
      <c r="S113" s="3">
        <v>-99</v>
      </c>
      <c r="T113" s="3">
        <v>-99</v>
      </c>
      <c r="U113" s="3">
        <v>-99</v>
      </c>
      <c r="V113" s="3">
        <v>-99</v>
      </c>
      <c r="W113" s="3">
        <v>-99</v>
      </c>
      <c r="X113" s="3">
        <v>-99</v>
      </c>
      <c r="Y113" s="3">
        <v>-99</v>
      </c>
      <c r="Z113" s="3">
        <v>-99</v>
      </c>
      <c r="AA113" s="3">
        <v>-99</v>
      </c>
      <c r="AB113" s="3">
        <v>-99</v>
      </c>
      <c r="AC113" t="s">
        <v>9</v>
      </c>
      <c r="AE113">
        <v>-99</v>
      </c>
      <c r="AF113">
        <v>537</v>
      </c>
      <c r="AG113">
        <v>537</v>
      </c>
      <c r="BJ113">
        <f t="shared" si="11"/>
        <v>0</v>
      </c>
      <c r="BL113">
        <v>0</v>
      </c>
      <c r="BM113" t="s">
        <v>354</v>
      </c>
      <c r="BN113">
        <v>9</v>
      </c>
    </row>
    <row r="114" spans="1:66" x14ac:dyDescent="0.2">
      <c r="A114" t="s">
        <v>418</v>
      </c>
      <c r="B114" s="10">
        <v>184</v>
      </c>
      <c r="C114" s="3">
        <f t="shared" si="12"/>
        <v>184</v>
      </c>
      <c r="D114" t="s">
        <v>374</v>
      </c>
      <c r="E114">
        <v>6</v>
      </c>
      <c r="F114" t="s">
        <v>280</v>
      </c>
      <c r="G114" s="6" t="s">
        <v>7</v>
      </c>
      <c r="H114" t="s">
        <v>287</v>
      </c>
      <c r="I114" s="5">
        <v>1889</v>
      </c>
      <c r="J114" s="3">
        <v>1919</v>
      </c>
      <c r="K114">
        <v>1892</v>
      </c>
      <c r="L114">
        <v>211</v>
      </c>
      <c r="M114" t="s">
        <v>609</v>
      </c>
      <c r="N114">
        <v>-99</v>
      </c>
      <c r="O114">
        <v>-99</v>
      </c>
      <c r="P114">
        <v>-99</v>
      </c>
      <c r="Q114">
        <v>-99</v>
      </c>
      <c r="R114">
        <v>-99</v>
      </c>
      <c r="S114">
        <v>-99</v>
      </c>
      <c r="T114">
        <v>-99</v>
      </c>
      <c r="U114">
        <v>-99</v>
      </c>
      <c r="V114">
        <v>-99</v>
      </c>
      <c r="W114">
        <v>374</v>
      </c>
      <c r="X114">
        <v>400</v>
      </c>
      <c r="Y114">
        <v>476</v>
      </c>
      <c r="Z114">
        <v>541</v>
      </c>
      <c r="AA114" s="3">
        <f>41+50+50+50+50+50+17</f>
        <v>308</v>
      </c>
      <c r="AB114" s="3">
        <v>403</v>
      </c>
      <c r="AC114" t="s">
        <v>9</v>
      </c>
      <c r="AD114">
        <v>5121.6000000000004</v>
      </c>
      <c r="AE114">
        <v>-99</v>
      </c>
      <c r="AF114">
        <v>-99</v>
      </c>
      <c r="AG114">
        <v>5122</v>
      </c>
      <c r="BJ114">
        <f t="shared" si="11"/>
        <v>0</v>
      </c>
      <c r="BL114">
        <v>0</v>
      </c>
      <c r="BM114" t="s">
        <v>508</v>
      </c>
      <c r="BN114">
        <v>8</v>
      </c>
    </row>
    <row r="115" spans="1:66" x14ac:dyDescent="0.2">
      <c r="A115" t="s">
        <v>419</v>
      </c>
      <c r="B115" s="10" t="s">
        <v>275</v>
      </c>
      <c r="C115" s="3">
        <f t="shared" si="12"/>
        <v>184.1</v>
      </c>
      <c r="D115" t="s">
        <v>374</v>
      </c>
      <c r="E115">
        <v>6</v>
      </c>
      <c r="F115" t="s">
        <v>281</v>
      </c>
      <c r="G115" s="6" t="s">
        <v>7</v>
      </c>
      <c r="H115" t="s">
        <v>287</v>
      </c>
      <c r="I115" s="5">
        <v>1889</v>
      </c>
      <c r="J115" s="3">
        <v>1919</v>
      </c>
      <c r="K115">
        <v>-99</v>
      </c>
      <c r="L115">
        <v>-99</v>
      </c>
      <c r="M115" t="s">
        <v>609</v>
      </c>
      <c r="N115">
        <v>-99</v>
      </c>
      <c r="O115">
        <v>-99</v>
      </c>
      <c r="P115">
        <v>-99</v>
      </c>
      <c r="Q115">
        <v>-99</v>
      </c>
      <c r="R115">
        <v>-99</v>
      </c>
      <c r="S115">
        <v>-99</v>
      </c>
      <c r="T115">
        <v>-99</v>
      </c>
      <c r="U115">
        <v>-99</v>
      </c>
      <c r="V115">
        <v>-99</v>
      </c>
      <c r="W115">
        <v>-99</v>
      </c>
      <c r="X115">
        <v>-99</v>
      </c>
      <c r="Y115">
        <v>-99</v>
      </c>
      <c r="Z115">
        <v>-99</v>
      </c>
      <c r="AA115" s="3">
        <v>-99</v>
      </c>
      <c r="AB115" s="3">
        <v>-99</v>
      </c>
      <c r="AC115" t="s">
        <v>9</v>
      </c>
      <c r="AD115">
        <v>4557.2</v>
      </c>
      <c r="AE115">
        <v>-99</v>
      </c>
      <c r="AF115">
        <v>-99</v>
      </c>
      <c r="AG115">
        <v>4577</v>
      </c>
      <c r="BJ115">
        <f t="shared" si="11"/>
        <v>0</v>
      </c>
      <c r="BL115">
        <v>0</v>
      </c>
      <c r="BM115" t="s">
        <v>466</v>
      </c>
      <c r="BN115">
        <v>8</v>
      </c>
    </row>
    <row r="116" spans="1:66" x14ac:dyDescent="0.2">
      <c r="A116" t="s">
        <v>420</v>
      </c>
      <c r="B116" s="10" t="s">
        <v>276</v>
      </c>
      <c r="C116" s="3">
        <f t="shared" si="12"/>
        <v>184.2</v>
      </c>
      <c r="D116" t="s">
        <v>374</v>
      </c>
      <c r="E116">
        <v>6</v>
      </c>
      <c r="F116" t="s">
        <v>282</v>
      </c>
      <c r="G116" s="6" t="s">
        <v>7</v>
      </c>
      <c r="H116" t="s">
        <v>287</v>
      </c>
      <c r="I116" s="5">
        <v>1889</v>
      </c>
      <c r="J116" s="3">
        <v>1919</v>
      </c>
      <c r="K116">
        <v>-99</v>
      </c>
      <c r="L116">
        <v>-99</v>
      </c>
      <c r="M116" t="s">
        <v>609</v>
      </c>
      <c r="N116">
        <v>-99</v>
      </c>
      <c r="O116">
        <v>-99</v>
      </c>
      <c r="P116">
        <v>-99</v>
      </c>
      <c r="Q116">
        <v>-99</v>
      </c>
      <c r="R116">
        <v>-99</v>
      </c>
      <c r="S116">
        <v>-99</v>
      </c>
      <c r="T116">
        <v>-99</v>
      </c>
      <c r="U116">
        <v>-99</v>
      </c>
      <c r="V116">
        <v>-99</v>
      </c>
      <c r="W116">
        <v>-99</v>
      </c>
      <c r="X116">
        <v>-99</v>
      </c>
      <c r="Y116">
        <v>-99</v>
      </c>
      <c r="Z116">
        <v>-99</v>
      </c>
      <c r="AA116" s="3">
        <v>-99</v>
      </c>
      <c r="AB116" s="3">
        <v>-99</v>
      </c>
      <c r="AC116" t="s">
        <v>9</v>
      </c>
      <c r="AD116">
        <v>1297.8</v>
      </c>
      <c r="AE116">
        <v>-99</v>
      </c>
      <c r="AF116">
        <v>-99</v>
      </c>
      <c r="AG116">
        <v>1303</v>
      </c>
      <c r="BJ116">
        <f t="shared" si="11"/>
        <v>0</v>
      </c>
      <c r="BL116">
        <v>0</v>
      </c>
      <c r="BM116" t="s">
        <v>466</v>
      </c>
      <c r="BN116">
        <v>8</v>
      </c>
    </row>
    <row r="117" spans="1:66" x14ac:dyDescent="0.2">
      <c r="A117" t="s">
        <v>421</v>
      </c>
      <c r="B117" s="10" t="s">
        <v>277</v>
      </c>
      <c r="C117" s="3">
        <f t="shared" si="12"/>
        <v>184.3</v>
      </c>
      <c r="D117" t="s">
        <v>374</v>
      </c>
      <c r="E117">
        <v>6</v>
      </c>
      <c r="F117" t="s">
        <v>283</v>
      </c>
      <c r="G117" s="6" t="s">
        <v>7</v>
      </c>
      <c r="H117" t="s">
        <v>287</v>
      </c>
      <c r="I117" s="5">
        <v>1889</v>
      </c>
      <c r="J117" s="3">
        <v>1919</v>
      </c>
      <c r="K117">
        <v>-99</v>
      </c>
      <c r="L117">
        <v>-99</v>
      </c>
      <c r="M117" t="s">
        <v>609</v>
      </c>
      <c r="N117">
        <v>-99</v>
      </c>
      <c r="O117">
        <v>-99</v>
      </c>
      <c r="P117">
        <v>-99</v>
      </c>
      <c r="Q117">
        <v>-99</v>
      </c>
      <c r="R117">
        <v>-99</v>
      </c>
      <c r="S117">
        <v>-99</v>
      </c>
      <c r="T117">
        <v>-99</v>
      </c>
      <c r="U117">
        <v>-99</v>
      </c>
      <c r="V117">
        <v>-99</v>
      </c>
      <c r="W117">
        <v>-99</v>
      </c>
      <c r="X117">
        <v>-99</v>
      </c>
      <c r="Y117">
        <v>-99</v>
      </c>
      <c r="Z117">
        <v>-99</v>
      </c>
      <c r="AA117" s="3">
        <v>-99</v>
      </c>
      <c r="AB117" s="3">
        <v>-99</v>
      </c>
      <c r="AC117" t="s">
        <v>9</v>
      </c>
      <c r="AD117">
        <v>2662.8</v>
      </c>
      <c r="AE117">
        <v>-99</v>
      </c>
      <c r="AF117">
        <v>-99</v>
      </c>
      <c r="AG117">
        <v>2663</v>
      </c>
      <c r="BJ117">
        <f t="shared" si="11"/>
        <v>0</v>
      </c>
      <c r="BL117">
        <v>0</v>
      </c>
      <c r="BM117" t="s">
        <v>466</v>
      </c>
      <c r="BN117">
        <v>8</v>
      </c>
    </row>
    <row r="118" spans="1:66" x14ac:dyDescent="0.2">
      <c r="A118" t="s">
        <v>422</v>
      </c>
      <c r="B118" s="10" t="s">
        <v>278</v>
      </c>
      <c r="C118" s="3">
        <f t="shared" si="12"/>
        <v>184.4</v>
      </c>
      <c r="D118" t="s">
        <v>374</v>
      </c>
      <c r="E118">
        <v>6</v>
      </c>
      <c r="F118" t="s">
        <v>284</v>
      </c>
      <c r="G118" s="6" t="s">
        <v>7</v>
      </c>
      <c r="H118" t="s">
        <v>287</v>
      </c>
      <c r="I118" s="5">
        <v>1889</v>
      </c>
      <c r="J118" s="3">
        <v>1919</v>
      </c>
      <c r="K118">
        <v>-99</v>
      </c>
      <c r="L118">
        <v>-99</v>
      </c>
      <c r="M118" t="s">
        <v>609</v>
      </c>
      <c r="N118">
        <v>-99</v>
      </c>
      <c r="O118">
        <v>-99</v>
      </c>
      <c r="P118">
        <v>-99</v>
      </c>
      <c r="Q118">
        <v>-99</v>
      </c>
      <c r="R118">
        <v>-99</v>
      </c>
      <c r="S118">
        <v>-99</v>
      </c>
      <c r="T118">
        <v>-99</v>
      </c>
      <c r="U118">
        <v>-99</v>
      </c>
      <c r="V118">
        <v>-99</v>
      </c>
      <c r="W118">
        <v>-99</v>
      </c>
      <c r="X118">
        <v>-99</v>
      </c>
      <c r="Y118">
        <v>-99</v>
      </c>
      <c r="Z118">
        <v>-99</v>
      </c>
      <c r="AA118" s="3">
        <v>-99</v>
      </c>
      <c r="AB118" s="3">
        <v>-99</v>
      </c>
      <c r="AC118" t="s">
        <v>9</v>
      </c>
      <c r="AD118">
        <v>1673</v>
      </c>
      <c r="AE118">
        <v>-99</v>
      </c>
      <c r="AF118">
        <v>-99</v>
      </c>
      <c r="AG118">
        <v>1673</v>
      </c>
      <c r="BJ118">
        <f t="shared" si="11"/>
        <v>0</v>
      </c>
      <c r="BL118">
        <v>0</v>
      </c>
      <c r="BM118" t="s">
        <v>466</v>
      </c>
      <c r="BN118">
        <v>8</v>
      </c>
    </row>
    <row r="119" spans="1:66" x14ac:dyDescent="0.2">
      <c r="A119" t="s">
        <v>423</v>
      </c>
      <c r="B119" s="10" t="s">
        <v>279</v>
      </c>
      <c r="C119" s="3">
        <f t="shared" si="12"/>
        <v>184.5</v>
      </c>
      <c r="D119" t="s">
        <v>374</v>
      </c>
      <c r="E119">
        <v>6</v>
      </c>
      <c r="F119" t="s">
        <v>285</v>
      </c>
      <c r="G119" s="6" t="s">
        <v>7</v>
      </c>
      <c r="H119" t="s">
        <v>287</v>
      </c>
      <c r="I119" s="5">
        <v>1889</v>
      </c>
      <c r="J119" s="3">
        <v>1919</v>
      </c>
      <c r="K119">
        <v>-99</v>
      </c>
      <c r="L119">
        <v>-99</v>
      </c>
      <c r="M119" t="s">
        <v>609</v>
      </c>
      <c r="N119">
        <v>-99</v>
      </c>
      <c r="O119">
        <v>-99</v>
      </c>
      <c r="P119">
        <v>-99</v>
      </c>
      <c r="Q119">
        <v>-99</v>
      </c>
      <c r="R119">
        <v>-99</v>
      </c>
      <c r="S119">
        <v>-99</v>
      </c>
      <c r="T119">
        <v>-99</v>
      </c>
      <c r="U119">
        <v>-99</v>
      </c>
      <c r="V119">
        <v>-99</v>
      </c>
      <c r="W119">
        <v>-99</v>
      </c>
      <c r="X119">
        <v>-99</v>
      </c>
      <c r="Y119">
        <v>-99</v>
      </c>
      <c r="Z119">
        <v>-99</v>
      </c>
      <c r="AA119" s="3">
        <v>-99</v>
      </c>
      <c r="AB119" s="3">
        <v>-99</v>
      </c>
      <c r="AC119" t="s">
        <v>9</v>
      </c>
      <c r="AD119">
        <v>1487</v>
      </c>
      <c r="AE119">
        <v>-99</v>
      </c>
      <c r="AF119">
        <v>-99</v>
      </c>
      <c r="AG119">
        <v>1487</v>
      </c>
      <c r="BJ119">
        <f t="shared" si="11"/>
        <v>0</v>
      </c>
      <c r="BL119">
        <v>0</v>
      </c>
      <c r="BM119" t="s">
        <v>466</v>
      </c>
      <c r="BN119">
        <v>8</v>
      </c>
    </row>
    <row r="120" spans="1:66" x14ac:dyDescent="0.2">
      <c r="A120" t="s">
        <v>472</v>
      </c>
      <c r="B120" s="10" t="s">
        <v>471</v>
      </c>
      <c r="C120" s="3">
        <f t="shared" si="12"/>
        <v>184.6</v>
      </c>
      <c r="D120" t="s">
        <v>374</v>
      </c>
      <c r="E120">
        <v>6</v>
      </c>
      <c r="F120" t="s">
        <v>473</v>
      </c>
      <c r="G120" s="6" t="s">
        <v>7</v>
      </c>
      <c r="H120" t="s">
        <v>287</v>
      </c>
      <c r="I120" s="5">
        <v>1889</v>
      </c>
      <c r="J120">
        <v>1921</v>
      </c>
      <c r="K120">
        <v>-99</v>
      </c>
      <c r="L120">
        <v>-99</v>
      </c>
      <c r="M120" t="s">
        <v>609</v>
      </c>
      <c r="N120">
        <v>-99</v>
      </c>
      <c r="O120">
        <v>-99</v>
      </c>
      <c r="P120">
        <v>-99</v>
      </c>
      <c r="Q120">
        <v>-99</v>
      </c>
      <c r="R120">
        <v>-99</v>
      </c>
      <c r="S120">
        <v>-99</v>
      </c>
      <c r="T120">
        <v>-99</v>
      </c>
      <c r="U120">
        <v>-99</v>
      </c>
      <c r="V120">
        <v>-99</v>
      </c>
      <c r="W120">
        <v>-99</v>
      </c>
      <c r="X120">
        <v>-99</v>
      </c>
      <c r="Y120">
        <v>-99</v>
      </c>
      <c r="Z120">
        <v>-99</v>
      </c>
      <c r="AA120">
        <v>-99</v>
      </c>
      <c r="AB120">
        <v>-99</v>
      </c>
      <c r="AC120" t="s">
        <v>9</v>
      </c>
      <c r="AE120">
        <v>-99</v>
      </c>
      <c r="AF120">
        <v>-99</v>
      </c>
      <c r="AG120">
        <v>5756</v>
      </c>
      <c r="BJ120">
        <f t="shared" si="11"/>
        <v>0</v>
      </c>
      <c r="BL120">
        <v>-99</v>
      </c>
      <c r="BM120" t="s">
        <v>466</v>
      </c>
      <c r="BN120">
        <v>5</v>
      </c>
    </row>
    <row r="121" spans="1:66" x14ac:dyDescent="0.2">
      <c r="A121" t="s">
        <v>446</v>
      </c>
      <c r="B121" s="10">
        <v>191</v>
      </c>
      <c r="C121" s="3">
        <f t="shared" si="12"/>
        <v>191</v>
      </c>
      <c r="D121" t="s">
        <v>375</v>
      </c>
      <c r="E121">
        <v>6</v>
      </c>
      <c r="F121" t="s">
        <v>443</v>
      </c>
      <c r="G121" t="s">
        <v>7</v>
      </c>
      <c r="H121" t="s">
        <v>444</v>
      </c>
      <c r="I121">
        <v>1878</v>
      </c>
      <c r="J121">
        <v>1927</v>
      </c>
      <c r="K121">
        <v>1890</v>
      </c>
      <c r="L121">
        <v>114</v>
      </c>
      <c r="M121" t="s">
        <v>609</v>
      </c>
      <c r="N121">
        <v>-99</v>
      </c>
      <c r="O121">
        <v>-99</v>
      </c>
      <c r="P121">
        <v>-99</v>
      </c>
      <c r="Q121">
        <v>-99</v>
      </c>
      <c r="R121">
        <v>-99</v>
      </c>
      <c r="S121">
        <v>-99</v>
      </c>
      <c r="T121">
        <v>91</v>
      </c>
      <c r="U121">
        <v>50</v>
      </c>
      <c r="V121">
        <v>91</v>
      </c>
      <c r="W121">
        <v>52</v>
      </c>
      <c r="X121">
        <v>66</v>
      </c>
      <c r="Y121">
        <v>51</v>
      </c>
      <c r="Z121">
        <v>54</v>
      </c>
      <c r="AA121">
        <f>50+4</f>
        <v>54</v>
      </c>
      <c r="AB121">
        <f>43+31</f>
        <v>74</v>
      </c>
      <c r="AC121" t="s">
        <v>265</v>
      </c>
      <c r="AE121">
        <v>-99</v>
      </c>
      <c r="AF121">
        <v>-99</v>
      </c>
      <c r="AG121">
        <v>8600</v>
      </c>
      <c r="BJ121">
        <f t="shared" si="11"/>
        <v>0</v>
      </c>
      <c r="BL121">
        <v>0</v>
      </c>
      <c r="BM121" t="s">
        <v>445</v>
      </c>
      <c r="BN121">
        <v>6</v>
      </c>
    </row>
    <row r="122" spans="1:66" x14ac:dyDescent="0.2">
      <c r="A122" t="s">
        <v>428</v>
      </c>
      <c r="B122" s="10">
        <v>192</v>
      </c>
      <c r="C122" s="3">
        <f t="shared" si="12"/>
        <v>192</v>
      </c>
      <c r="D122" t="s">
        <v>424</v>
      </c>
      <c r="E122">
        <v>10</v>
      </c>
      <c r="F122" t="s">
        <v>286</v>
      </c>
      <c r="G122" s="6" t="s">
        <v>7</v>
      </c>
      <c r="H122" t="s">
        <v>296</v>
      </c>
      <c r="I122" s="5">
        <v>1906</v>
      </c>
      <c r="J122" s="3">
        <v>1923</v>
      </c>
      <c r="K122">
        <v>1909</v>
      </c>
      <c r="L122">
        <v>153</v>
      </c>
      <c r="M122" t="s">
        <v>609</v>
      </c>
      <c r="N122">
        <v>-99</v>
      </c>
      <c r="O122">
        <v>-99</v>
      </c>
      <c r="P122">
        <v>-99</v>
      </c>
      <c r="Q122">
        <v>-99</v>
      </c>
      <c r="R122">
        <v>-99</v>
      </c>
      <c r="S122">
        <v>-99</v>
      </c>
      <c r="T122">
        <v>-99</v>
      </c>
      <c r="U122">
        <v>-99</v>
      </c>
      <c r="V122">
        <v>-99</v>
      </c>
      <c r="W122">
        <v>-99</v>
      </c>
      <c r="X122">
        <v>-99</v>
      </c>
      <c r="Y122">
        <v>175</v>
      </c>
      <c r="Z122">
        <v>179</v>
      </c>
      <c r="AA122" s="3">
        <f>34+50+50+44</f>
        <v>178</v>
      </c>
      <c r="AB122" s="3">
        <v>186</v>
      </c>
      <c r="AC122" t="s">
        <v>297</v>
      </c>
      <c r="AD122">
        <v>13882</v>
      </c>
      <c r="AE122">
        <v>-99</v>
      </c>
      <c r="AF122">
        <v>-99</v>
      </c>
      <c r="AG122">
        <v>13882</v>
      </c>
      <c r="BJ122">
        <f t="shared" si="11"/>
        <v>0</v>
      </c>
      <c r="BL122">
        <v>0</v>
      </c>
      <c r="BM122" t="s">
        <v>453</v>
      </c>
      <c r="BN122">
        <v>7</v>
      </c>
    </row>
    <row r="123" spans="1:66" x14ac:dyDescent="0.2">
      <c r="A123" t="s">
        <v>429</v>
      </c>
      <c r="B123" s="10" t="s">
        <v>288</v>
      </c>
      <c r="C123" s="3">
        <f t="shared" si="12"/>
        <v>192.1</v>
      </c>
      <c r="D123" t="s">
        <v>424</v>
      </c>
      <c r="E123">
        <v>10</v>
      </c>
      <c r="F123" t="s">
        <v>292</v>
      </c>
      <c r="G123" s="6" t="s">
        <v>7</v>
      </c>
      <c r="H123" t="s">
        <v>296</v>
      </c>
      <c r="I123" s="5">
        <v>1906</v>
      </c>
      <c r="J123" s="3">
        <v>1923</v>
      </c>
      <c r="K123">
        <v>-99</v>
      </c>
      <c r="L123">
        <v>-99</v>
      </c>
      <c r="M123" t="s">
        <v>609</v>
      </c>
      <c r="N123">
        <v>-99</v>
      </c>
      <c r="O123">
        <v>-99</v>
      </c>
      <c r="P123">
        <v>-99</v>
      </c>
      <c r="Q123">
        <v>-99</v>
      </c>
      <c r="R123">
        <v>-99</v>
      </c>
      <c r="S123">
        <v>-99</v>
      </c>
      <c r="T123">
        <v>-99</v>
      </c>
      <c r="U123">
        <v>-99</v>
      </c>
      <c r="V123">
        <v>-99</v>
      </c>
      <c r="W123">
        <v>-99</v>
      </c>
      <c r="X123">
        <v>-99</v>
      </c>
      <c r="Y123">
        <v>-99</v>
      </c>
      <c r="Z123">
        <v>-99</v>
      </c>
      <c r="AA123" s="3">
        <v>-99</v>
      </c>
      <c r="AB123" s="3">
        <v>-99</v>
      </c>
      <c r="AC123" t="s">
        <v>297</v>
      </c>
      <c r="AD123">
        <v>335</v>
      </c>
      <c r="AE123">
        <v>-99</v>
      </c>
      <c r="AF123">
        <v>-99</v>
      </c>
      <c r="AG123">
        <v>335</v>
      </c>
      <c r="BJ123">
        <f t="shared" si="11"/>
        <v>0</v>
      </c>
      <c r="BL123">
        <v>0</v>
      </c>
      <c r="BM123" t="s">
        <v>467</v>
      </c>
      <c r="BN123">
        <v>7</v>
      </c>
    </row>
    <row r="124" spans="1:66" x14ac:dyDescent="0.2">
      <c r="A124" t="s">
        <v>430</v>
      </c>
      <c r="B124" s="10" t="s">
        <v>289</v>
      </c>
      <c r="C124" s="3">
        <f t="shared" si="12"/>
        <v>192.2</v>
      </c>
      <c r="D124" t="s">
        <v>424</v>
      </c>
      <c r="E124">
        <v>10</v>
      </c>
      <c r="F124" t="s">
        <v>293</v>
      </c>
      <c r="G124" s="6" t="s">
        <v>7</v>
      </c>
      <c r="H124" t="s">
        <v>296</v>
      </c>
      <c r="I124" s="5">
        <v>1906</v>
      </c>
      <c r="J124" s="3">
        <v>1923</v>
      </c>
      <c r="K124">
        <v>-99</v>
      </c>
      <c r="L124">
        <v>-99</v>
      </c>
      <c r="M124" t="s">
        <v>609</v>
      </c>
      <c r="N124">
        <v>-99</v>
      </c>
      <c r="O124">
        <v>-99</v>
      </c>
      <c r="P124">
        <v>-99</v>
      </c>
      <c r="Q124">
        <v>-99</v>
      </c>
      <c r="R124">
        <v>-99</v>
      </c>
      <c r="S124">
        <v>-99</v>
      </c>
      <c r="T124">
        <v>-99</v>
      </c>
      <c r="U124">
        <v>-99</v>
      </c>
      <c r="V124">
        <v>-99</v>
      </c>
      <c r="W124">
        <v>-99</v>
      </c>
      <c r="X124">
        <v>-99</v>
      </c>
      <c r="Y124">
        <v>-99</v>
      </c>
      <c r="Z124">
        <v>-99</v>
      </c>
      <c r="AA124" s="3">
        <v>-99</v>
      </c>
      <c r="AB124" s="3">
        <v>-99</v>
      </c>
      <c r="AC124" t="s">
        <v>297</v>
      </c>
      <c r="AD124">
        <v>249</v>
      </c>
      <c r="AE124">
        <v>-99</v>
      </c>
      <c r="AF124">
        <v>-99</v>
      </c>
      <c r="AG124">
        <v>249</v>
      </c>
      <c r="BJ124">
        <f t="shared" si="11"/>
        <v>0</v>
      </c>
      <c r="BL124">
        <v>0</v>
      </c>
      <c r="BM124" t="s">
        <v>467</v>
      </c>
      <c r="BN124">
        <v>7</v>
      </c>
    </row>
    <row r="125" spans="1:66" x14ac:dyDescent="0.2">
      <c r="A125" t="s">
        <v>431</v>
      </c>
      <c r="B125" s="10" t="s">
        <v>290</v>
      </c>
      <c r="C125" s="3">
        <f t="shared" si="12"/>
        <v>192.3</v>
      </c>
      <c r="D125" t="s">
        <v>424</v>
      </c>
      <c r="E125">
        <v>10</v>
      </c>
      <c r="F125" t="s">
        <v>294</v>
      </c>
      <c r="G125" s="6" t="s">
        <v>7</v>
      </c>
      <c r="H125" t="s">
        <v>296</v>
      </c>
      <c r="I125" s="5">
        <v>1906</v>
      </c>
      <c r="J125" s="3">
        <v>1923</v>
      </c>
      <c r="K125">
        <v>-99</v>
      </c>
      <c r="L125">
        <v>-99</v>
      </c>
      <c r="M125" t="s">
        <v>609</v>
      </c>
      <c r="N125">
        <v>-99</v>
      </c>
      <c r="O125">
        <v>-99</v>
      </c>
      <c r="P125">
        <v>-99</v>
      </c>
      <c r="Q125">
        <v>-99</v>
      </c>
      <c r="R125">
        <v>-99</v>
      </c>
      <c r="S125">
        <v>-99</v>
      </c>
      <c r="T125">
        <v>-99</v>
      </c>
      <c r="U125">
        <v>-99</v>
      </c>
      <c r="V125">
        <v>-99</v>
      </c>
      <c r="W125">
        <v>-99</v>
      </c>
      <c r="X125">
        <v>-99</v>
      </c>
      <c r="Y125">
        <v>-99</v>
      </c>
      <c r="Z125">
        <v>-99</v>
      </c>
      <c r="AA125" s="3">
        <v>-99</v>
      </c>
      <c r="AB125" s="3">
        <v>-99</v>
      </c>
      <c r="AC125" t="s">
        <v>297</v>
      </c>
      <c r="AD125">
        <v>192</v>
      </c>
      <c r="AE125">
        <v>-99</v>
      </c>
      <c r="AF125">
        <v>-99</v>
      </c>
      <c r="AG125">
        <v>192</v>
      </c>
      <c r="BJ125">
        <f t="shared" si="11"/>
        <v>0</v>
      </c>
      <c r="BL125">
        <v>0</v>
      </c>
      <c r="BM125" t="s">
        <v>467</v>
      </c>
      <c r="BN125">
        <v>7</v>
      </c>
    </row>
    <row r="126" spans="1:66" x14ac:dyDescent="0.2">
      <c r="A126" t="s">
        <v>432</v>
      </c>
      <c r="B126" s="10" t="s">
        <v>291</v>
      </c>
      <c r="C126" s="3">
        <f t="shared" si="12"/>
        <v>192.4</v>
      </c>
      <c r="D126" t="s">
        <v>424</v>
      </c>
      <c r="E126">
        <v>10</v>
      </c>
      <c r="F126" t="s">
        <v>295</v>
      </c>
      <c r="G126" s="6" t="s">
        <v>7</v>
      </c>
      <c r="H126" t="s">
        <v>296</v>
      </c>
      <c r="I126" s="5">
        <v>1906</v>
      </c>
      <c r="J126" s="3">
        <v>1923</v>
      </c>
      <c r="K126">
        <v>-99</v>
      </c>
      <c r="L126">
        <v>-99</v>
      </c>
      <c r="M126" t="s">
        <v>609</v>
      </c>
      <c r="N126">
        <v>-99</v>
      </c>
      <c r="O126">
        <v>-99</v>
      </c>
      <c r="P126">
        <v>-99</v>
      </c>
      <c r="Q126">
        <v>-99</v>
      </c>
      <c r="R126">
        <v>-99</v>
      </c>
      <c r="S126">
        <v>-99</v>
      </c>
      <c r="T126">
        <v>-99</v>
      </c>
      <c r="U126">
        <v>-99</v>
      </c>
      <c r="V126">
        <v>-99</v>
      </c>
      <c r="W126">
        <v>-99</v>
      </c>
      <c r="X126">
        <v>-99</v>
      </c>
      <c r="Y126">
        <v>-99</v>
      </c>
      <c r="Z126">
        <v>-99</v>
      </c>
      <c r="AA126" s="3">
        <v>-99</v>
      </c>
      <c r="AB126" s="3">
        <v>-99</v>
      </c>
      <c r="AC126" t="s">
        <v>297</v>
      </c>
      <c r="AD126">
        <v>959</v>
      </c>
      <c r="AE126">
        <v>-99</v>
      </c>
      <c r="AF126">
        <v>-99</v>
      </c>
      <c r="AG126">
        <v>959</v>
      </c>
      <c r="BJ126">
        <f t="shared" si="11"/>
        <v>0</v>
      </c>
      <c r="BL126">
        <v>0</v>
      </c>
      <c r="BM126" t="s">
        <v>467</v>
      </c>
      <c r="BN126">
        <v>7</v>
      </c>
    </row>
    <row r="127" spans="1:66" x14ac:dyDescent="0.2">
      <c r="A127" t="s">
        <v>433</v>
      </c>
      <c r="B127" s="10">
        <v>193</v>
      </c>
      <c r="C127" s="3">
        <f t="shared" si="12"/>
        <v>193</v>
      </c>
      <c r="D127" t="s">
        <v>424</v>
      </c>
      <c r="E127">
        <v>10</v>
      </c>
      <c r="F127" t="s">
        <v>300</v>
      </c>
      <c r="G127" s="6" t="s">
        <v>7</v>
      </c>
      <c r="H127" t="s">
        <v>304</v>
      </c>
      <c r="I127" s="5">
        <v>1906</v>
      </c>
      <c r="J127" s="3">
        <v>1923</v>
      </c>
      <c r="K127">
        <v>1907</v>
      </c>
      <c r="L127">
        <v>159</v>
      </c>
      <c r="M127" t="s">
        <v>609</v>
      </c>
      <c r="N127">
        <v>-99</v>
      </c>
      <c r="O127">
        <v>-99</v>
      </c>
      <c r="P127">
        <v>-99</v>
      </c>
      <c r="Q127">
        <v>-99</v>
      </c>
      <c r="R127">
        <v>-99</v>
      </c>
      <c r="S127">
        <v>-99</v>
      </c>
      <c r="T127">
        <v>-99</v>
      </c>
      <c r="U127">
        <v>-99</v>
      </c>
      <c r="V127">
        <v>-99</v>
      </c>
      <c r="W127">
        <v>-99</v>
      </c>
      <c r="X127">
        <v>-99</v>
      </c>
      <c r="Y127">
        <v>90</v>
      </c>
      <c r="Z127">
        <v>183</v>
      </c>
      <c r="AA127">
        <f>32+50+50+50+50+43</f>
        <v>275</v>
      </c>
      <c r="AB127">
        <v>213</v>
      </c>
      <c r="AC127" t="s">
        <v>297</v>
      </c>
      <c r="AD127">
        <v>26450</v>
      </c>
      <c r="AE127">
        <v>-99</v>
      </c>
      <c r="AF127">
        <v>-99</v>
      </c>
      <c r="AG127">
        <v>26454</v>
      </c>
      <c r="BJ127">
        <f t="shared" si="11"/>
        <v>0</v>
      </c>
      <c r="BL127">
        <v>0</v>
      </c>
      <c r="BM127" t="s">
        <v>563</v>
      </c>
      <c r="BN127">
        <v>8</v>
      </c>
    </row>
    <row r="128" spans="1:66" x14ac:dyDescent="0.2">
      <c r="A128" t="s">
        <v>434</v>
      </c>
      <c r="B128" s="10" t="s">
        <v>298</v>
      </c>
      <c r="C128" s="3">
        <f t="shared" si="12"/>
        <v>193.1</v>
      </c>
      <c r="D128" t="s">
        <v>424</v>
      </c>
      <c r="E128">
        <v>10</v>
      </c>
      <c r="F128" t="s">
        <v>301</v>
      </c>
      <c r="G128" s="6" t="s">
        <v>7</v>
      </c>
      <c r="H128" t="s">
        <v>303</v>
      </c>
      <c r="I128" s="5">
        <v>1906</v>
      </c>
      <c r="J128" s="3">
        <v>1923</v>
      </c>
      <c r="K128">
        <v>-99</v>
      </c>
      <c r="L128">
        <v>-99</v>
      </c>
      <c r="M128" t="s">
        <v>609</v>
      </c>
      <c r="N128">
        <v>-99</v>
      </c>
      <c r="O128">
        <v>-99</v>
      </c>
      <c r="P128">
        <v>-99</v>
      </c>
      <c r="Q128">
        <v>-99</v>
      </c>
      <c r="R128">
        <v>-99</v>
      </c>
      <c r="S128">
        <v>-99</v>
      </c>
      <c r="T128">
        <v>-99</v>
      </c>
      <c r="U128">
        <v>-99</v>
      </c>
      <c r="V128">
        <v>-99</v>
      </c>
      <c r="W128">
        <v>-99</v>
      </c>
      <c r="X128">
        <v>-99</v>
      </c>
      <c r="Y128">
        <v>-99</v>
      </c>
      <c r="Z128">
        <v>-99</v>
      </c>
      <c r="AA128" s="3">
        <v>-99</v>
      </c>
      <c r="AB128" s="3">
        <v>-99</v>
      </c>
      <c r="AC128" t="s">
        <v>297</v>
      </c>
      <c r="AD128">
        <v>395</v>
      </c>
      <c r="AE128">
        <v>-99</v>
      </c>
      <c r="AF128">
        <v>-99</v>
      </c>
      <c r="AG128">
        <v>395</v>
      </c>
      <c r="BJ128">
        <f t="shared" si="11"/>
        <v>0</v>
      </c>
      <c r="BL128">
        <v>0</v>
      </c>
      <c r="BM128" t="s">
        <v>359</v>
      </c>
      <c r="BN128">
        <v>7</v>
      </c>
    </row>
    <row r="129" spans="1:66" x14ac:dyDescent="0.2">
      <c r="A129" t="s">
        <v>435</v>
      </c>
      <c r="B129" s="10" t="s">
        <v>299</v>
      </c>
      <c r="C129" s="3">
        <f t="shared" si="12"/>
        <v>193.2</v>
      </c>
      <c r="D129" t="s">
        <v>424</v>
      </c>
      <c r="E129">
        <v>10</v>
      </c>
      <c r="F129" t="s">
        <v>302</v>
      </c>
      <c r="G129" s="6" t="s">
        <v>7</v>
      </c>
      <c r="H129" t="s">
        <v>303</v>
      </c>
      <c r="I129" s="5">
        <v>1906</v>
      </c>
      <c r="J129" s="3">
        <v>1923</v>
      </c>
      <c r="K129">
        <v>-99</v>
      </c>
      <c r="L129">
        <v>-99</v>
      </c>
      <c r="M129" t="s">
        <v>609</v>
      </c>
      <c r="N129">
        <v>-99</v>
      </c>
      <c r="O129">
        <v>-99</v>
      </c>
      <c r="P129">
        <v>-99</v>
      </c>
      <c r="Q129">
        <v>-99</v>
      </c>
      <c r="R129">
        <v>-99</v>
      </c>
      <c r="S129">
        <v>-99</v>
      </c>
      <c r="T129">
        <v>-99</v>
      </c>
      <c r="U129">
        <v>-99</v>
      </c>
      <c r="V129">
        <v>-99</v>
      </c>
      <c r="W129">
        <v>-99</v>
      </c>
      <c r="X129">
        <v>-99</v>
      </c>
      <c r="Y129">
        <v>-99</v>
      </c>
      <c r="Z129">
        <v>-99</v>
      </c>
      <c r="AA129" s="3">
        <v>-99</v>
      </c>
      <c r="AB129" s="3">
        <v>-99</v>
      </c>
      <c r="AC129" t="s">
        <v>297</v>
      </c>
      <c r="AD129">
        <v>231</v>
      </c>
      <c r="AE129">
        <v>-99</v>
      </c>
      <c r="AF129">
        <v>-99</v>
      </c>
      <c r="AG129">
        <v>231</v>
      </c>
      <c r="BJ129">
        <f t="shared" ref="BJ129:BJ130" si="13">SUM(AH129:BI129)</f>
        <v>0</v>
      </c>
      <c r="BL129">
        <v>0</v>
      </c>
      <c r="BM129" t="s">
        <v>359</v>
      </c>
      <c r="BN129">
        <v>7</v>
      </c>
    </row>
    <row r="130" spans="1:66" ht="12.75" customHeight="1" x14ac:dyDescent="0.2">
      <c r="A130" t="s">
        <v>451</v>
      </c>
      <c r="B130" s="10">
        <v>200</v>
      </c>
      <c r="C130" s="3">
        <f t="shared" ref="C130" si="14">IF(ISNUMBER(B130), B130, VALUE(LEFT(B130, LEN(B130)-1)) + (CODE(RIGHT(B130,1))-64)/10)</f>
        <v>200</v>
      </c>
      <c r="D130" t="s">
        <v>374</v>
      </c>
      <c r="E130">
        <v>6</v>
      </c>
      <c r="F130" t="s">
        <v>452</v>
      </c>
      <c r="G130" s="6" t="s">
        <v>7</v>
      </c>
      <c r="H130" t="s">
        <v>287</v>
      </c>
      <c r="I130" s="5">
        <v>1889</v>
      </c>
      <c r="J130">
        <v>1930</v>
      </c>
      <c r="K130">
        <v>1910</v>
      </c>
      <c r="L130">
        <v>-99</v>
      </c>
      <c r="M130" t="s">
        <v>609</v>
      </c>
      <c r="N130">
        <v>-99</v>
      </c>
      <c r="O130">
        <v>-99</v>
      </c>
      <c r="P130">
        <v>-99</v>
      </c>
      <c r="Q130">
        <v>-99</v>
      </c>
      <c r="R130">
        <v>-99</v>
      </c>
      <c r="S130">
        <v>-99</v>
      </c>
      <c r="T130">
        <v>-99</v>
      </c>
      <c r="U130">
        <v>-99</v>
      </c>
      <c r="V130">
        <v>-99</v>
      </c>
      <c r="W130">
        <v>-99</v>
      </c>
      <c r="X130">
        <v>-99</v>
      </c>
      <c r="Y130">
        <v>-99</v>
      </c>
      <c r="Z130">
        <v>-99</v>
      </c>
      <c r="AA130">
        <f>50+4+16</f>
        <v>70</v>
      </c>
      <c r="AB130">
        <f>15+49+18</f>
        <v>82</v>
      </c>
      <c r="AC130" t="s">
        <v>9</v>
      </c>
      <c r="AE130">
        <v>-99</v>
      </c>
      <c r="AF130">
        <v>-99</v>
      </c>
      <c r="AG130">
        <v>10425</v>
      </c>
      <c r="BJ130">
        <f t="shared" si="13"/>
        <v>0</v>
      </c>
      <c r="BL130">
        <v>0</v>
      </c>
      <c r="BM130" t="s">
        <v>466</v>
      </c>
      <c r="BN130">
        <v>8</v>
      </c>
    </row>
  </sheetData>
  <autoFilter ref="A1:DA130" xr:uid="{3FEB9218-95D2-41FE-B3BC-0BD58EADF83A}">
    <sortState xmlns:xlrd2="http://schemas.microsoft.com/office/spreadsheetml/2017/richdata2" ref="A2:BN130">
      <sortCondition ref="C1:C130"/>
    </sortState>
  </autoFilter>
  <sortState xmlns:xlrd2="http://schemas.microsoft.com/office/spreadsheetml/2017/richdata2" ref="A2:BN130">
    <sortCondition descending="1" ref="G2:G130"/>
    <sortCondition ref="B2:B130"/>
  </sortState>
  <pageMargins left="0.7" right="0.7" top="0.75" bottom="0.75" header="0.3" footer="0.3"/>
  <pageSetup orientation="portrait" verticalDpi="597" r:id="rId1"/>
  <ignoredErrors>
    <ignoredError sqref="C61 C49 C65"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7B2D8-35D4-4A00-B935-A67D7CE638E6}">
  <dimension ref="A1:D16"/>
  <sheetViews>
    <sheetView tabSelected="1" workbookViewId="0">
      <selection activeCell="A24" sqref="A24"/>
    </sheetView>
  </sheetViews>
  <sheetFormatPr defaultRowHeight="12.75" x14ac:dyDescent="0.2"/>
  <cols>
    <col min="2" max="3" width="30.125" customWidth="1"/>
  </cols>
  <sheetData>
    <row r="1" spans="1:4" x14ac:dyDescent="0.2">
      <c r="A1" s="8" t="s">
        <v>571</v>
      </c>
      <c r="D1" t="s">
        <v>114</v>
      </c>
    </row>
    <row r="2" spans="1:4" x14ac:dyDescent="0.2">
      <c r="A2" s="9" t="s">
        <v>572</v>
      </c>
      <c r="B2" s="9" t="s">
        <v>573</v>
      </c>
      <c r="C2" s="9"/>
      <c r="D2" t="s">
        <v>160</v>
      </c>
    </row>
    <row r="3" spans="1:4" ht="13.5" customHeight="1" x14ac:dyDescent="0.2">
      <c r="A3" s="9" t="s">
        <v>574</v>
      </c>
      <c r="B3" s="9" t="s">
        <v>575</v>
      </c>
      <c r="C3" s="9"/>
      <c r="D3" t="s">
        <v>357</v>
      </c>
    </row>
    <row r="4" spans="1:4" x14ac:dyDescent="0.2">
      <c r="A4" s="9" t="s">
        <v>576</v>
      </c>
      <c r="B4" s="9" t="s">
        <v>577</v>
      </c>
      <c r="C4" s="9"/>
      <c r="D4" t="s">
        <v>358</v>
      </c>
    </row>
    <row r="5" spans="1:4" x14ac:dyDescent="0.2">
      <c r="A5" s="9" t="s">
        <v>578</v>
      </c>
      <c r="B5" s="9" t="s">
        <v>579</v>
      </c>
      <c r="C5" s="9"/>
      <c r="D5" t="s">
        <v>308</v>
      </c>
    </row>
    <row r="6" spans="1:4" x14ac:dyDescent="0.2">
      <c r="A6" s="9" t="s">
        <v>580</v>
      </c>
      <c r="B6" s="9" t="s">
        <v>581</v>
      </c>
      <c r="C6" s="9"/>
      <c r="D6" t="s">
        <v>346</v>
      </c>
    </row>
    <row r="7" spans="1:4" x14ac:dyDescent="0.2">
      <c r="A7" s="9" t="s">
        <v>582</v>
      </c>
      <c r="B7" s="9" t="s">
        <v>583</v>
      </c>
      <c r="C7" s="9"/>
      <c r="D7" t="s">
        <v>348</v>
      </c>
    </row>
    <row r="8" spans="1:4" x14ac:dyDescent="0.2">
      <c r="A8" s="9" t="s">
        <v>584</v>
      </c>
      <c r="B8" s="9" t="s">
        <v>585</v>
      </c>
      <c r="C8" s="9"/>
      <c r="D8" t="s">
        <v>350</v>
      </c>
    </row>
    <row r="9" spans="1:4" x14ac:dyDescent="0.2">
      <c r="A9" s="9" t="s">
        <v>7</v>
      </c>
      <c r="B9" s="9" t="s">
        <v>586</v>
      </c>
      <c r="C9" s="9"/>
      <c r="D9" t="s">
        <v>447</v>
      </c>
    </row>
    <row r="10" spans="1:4" x14ac:dyDescent="0.2">
      <c r="A10" s="9" t="s">
        <v>587</v>
      </c>
      <c r="B10" s="9" t="s">
        <v>588</v>
      </c>
      <c r="C10" s="9"/>
      <c r="D10" t="s">
        <v>607</v>
      </c>
    </row>
    <row r="11" spans="1:4" x14ac:dyDescent="0.2">
      <c r="A11" s="9" t="s">
        <v>589</v>
      </c>
      <c r="B11" s="9" t="s">
        <v>590</v>
      </c>
      <c r="C11" s="9"/>
    </row>
    <row r="12" spans="1:4" x14ac:dyDescent="0.2">
      <c r="A12" s="9" t="s">
        <v>591</v>
      </c>
      <c r="B12" s="9" t="s">
        <v>592</v>
      </c>
      <c r="C12" s="9"/>
    </row>
    <row r="13" spans="1:4" x14ac:dyDescent="0.2">
      <c r="A13" s="9" t="s">
        <v>593</v>
      </c>
      <c r="B13" s="9" t="s">
        <v>594</v>
      </c>
      <c r="C13" s="9"/>
    </row>
    <row r="14" spans="1:4" x14ac:dyDescent="0.2">
      <c r="A14" s="9" t="s">
        <v>595</v>
      </c>
      <c r="B14" s="9" t="s">
        <v>596</v>
      </c>
      <c r="C14" s="9"/>
    </row>
    <row r="15" spans="1:4" x14ac:dyDescent="0.2">
      <c r="A15" s="9" t="s">
        <v>597</v>
      </c>
      <c r="B15" s="9" t="s">
        <v>598</v>
      </c>
      <c r="C15" s="9"/>
    </row>
    <row r="16" spans="1:4" x14ac:dyDescent="0.2">
      <c r="C16" s="9"/>
    </row>
  </sheetData>
  <pageMargins left="0.7" right="0.7" top="0.75" bottom="0.75" header="0.3" footer="0.3"/>
  <pageSetup orientation="portrait" verticalDpi="597"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Clifford, Jim</dc:creator>
  <cp:keywords/>
  <dc:description/>
  <cp:lastModifiedBy>Rioux, Julian</cp:lastModifiedBy>
  <cp:revision/>
  <dcterms:created xsi:type="dcterms:W3CDTF">2024-05-24T16:08:38Z</dcterms:created>
  <dcterms:modified xsi:type="dcterms:W3CDTF">2025-08-12T19:12:34Z</dcterms:modified>
  <cp:category/>
  <cp:contentStatus/>
</cp:coreProperties>
</file>